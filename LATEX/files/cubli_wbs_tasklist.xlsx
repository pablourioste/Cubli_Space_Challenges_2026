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BS" sheetId="1" state="visible" r:id="rId3"/>
    <sheet name="Legend &amp; Assumptions" sheetId="2" state="visible" r:id="rId4"/>
    <sheet name="Resource Loading" sheetId="3" state="visible" r:id="rId5"/>
    <sheet name="GANTT" sheetId="4" state="visible" r:id="rId6"/>
    <sheet name="Gantt Chart" sheetId="5" state="visible" r:id="rId7"/>
  </sheets>
  <definedNames>
    <definedName function="false" hidden="true" localSheetId="0" name="_xlnm._FilterDatabase" vbProcedure="false">WBS!$A$1:$P$95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<sst xmlns="http://schemas.openxmlformats.org/spreadsheetml/2006/main" count="1117" uniqueCount="525">
  <si>
    <t xml:space="preserve">Code</t>
  </si>
  <si>
    <t xml:space="preserve">Task Name</t>
  </si>
  <si>
    <t xml:space="preserve">Specification - what to do</t>
  </si>
  <si>
    <t xml:space="preserve">Category</t>
  </si>
  <si>
    <t xml:space="preserve">Owner (lead)</t>
  </si>
  <si>
    <t xml:space="preserve">Support</t>
  </si>
  <si>
    <t xml:space="preserve">Typology</t>
  </si>
  <si>
    <t xml:space="preserve">Priority</t>
  </si>
  <si>
    <t xml:space="preserve">Stage</t>
  </si>
  <si>
    <t xml:space="preserve">Predecessors</t>
  </si>
  <si>
    <t xml:space="preserve">Effort (person-days)</t>
  </si>
  <si>
    <t xml:space="preserve">Start</t>
  </si>
  <si>
    <t xml:space="preserve">Finish</t>
  </si>
  <si>
    <t xml:space="preserve">Span (cal. days)</t>
  </si>
  <si>
    <t xml:space="preserve">Day # from start</t>
  </si>
  <si>
    <t xml:space="preserve">Notes / watch-outs</t>
  </si>
  <si>
    <t xml:space="preserve">PROJECT START (edit to re-baseline)</t>
  </si>
  <si>
    <t xml:space="preserve">PF-01</t>
  </si>
  <si>
    <t xml:space="preserve">Close open questions</t>
  </si>
  <si>
    <t xml:space="preserve">Get written answers from the organisers: (1) motor/driver/encoder quantities per team, (2) servo intent - brake, leg or other, (3) 1N5819 intent - power-ORing or flyback, (4) is frame material supplied or do we source it, (5) laser/waterjet/lathe access, (6) is the 150 mm cube dimension locked or free, (7) bench PSU availability.</t>
  </si>
  <si>
    <t xml:space="preserve">Formulation &amp; Docs</t>
  </si>
  <si>
    <t xml:space="preserve">Dejan</t>
  </si>
  <si>
    <t xml:space="preserve">Pablo</t>
  </si>
  <si>
    <t xml:space="preserve">Management</t>
  </si>
  <si>
    <t xml:space="preserve">P0</t>
  </si>
  <si>
    <t xml:space="preserve">S0</t>
  </si>
  <si>
    <t xml:space="preserve">Highest-leverage task in the plan - it is what unblocks the MF-01 order</t>
  </si>
  <si>
    <t xml:space="preserve">PF-02</t>
  </si>
  <si>
    <t xml:space="preserve">Problem statement &amp; narrative</t>
  </si>
  <si>
    <t xml:space="preserve">Write the problem statement and lock the ADCS application framing: momentum-exchange actuation, reaction wheels as the standard spacecraft attitude actuator, Hayabusa2 MINERVA-II / MASCOT hopping as the low-gravity mobility precedent. One paragraph that every other section refers back to.</t>
  </si>
  <si>
    <t xml:space="preserve">PROJECT END</t>
  </si>
  <si>
    <t xml:space="preserve">PF-03</t>
  </si>
  <si>
    <t xml:space="preserve">Scope &amp; requirements</t>
  </si>
  <si>
    <t xml:space="preserve">Define what is in and out of scope. Build the requirements table split into Functional (F), Performance (P) and Design constraint (D), each with an ID, a statement and a verification method.</t>
  </si>
  <si>
    <t xml:space="preserve">Analysis</t>
  </si>
  <si>
    <t xml:space="preserve">PF-04</t>
  </si>
  <si>
    <t xml:space="preserve">Milestones &amp; staging</t>
  </si>
  <si>
    <t xml:space="preserve">Define the three prototype stages (S1 1-DoF rig, S2 3D cube, S3 jump) and write a quantitative, binary acceptance criterion for each gate - e.g. 'balances &gt;=60 s and recovers from a finger poke', not 'works well'.</t>
  </si>
  <si>
    <t xml:space="preserve">Total effort (person-days)</t>
  </si>
  <si>
    <t xml:space="preserve">PF-05</t>
  </si>
  <si>
    <t xml:space="preserve">Roles &amp; RACI</t>
  </si>
  <si>
    <t xml:space="preserve">Assign a named owner per workstream (control, CAD, manufacturing, documentation) and per TDD section. Produce a one-page RACI so nobody is waiting on an unassigned task.</t>
  </si>
  <si>
    <t xml:space="preserve">PF-06</t>
  </si>
  <si>
    <t xml:space="preserve">EoM - 1-DoF pendulum</t>
  </si>
  <si>
    <t xml:space="preserve">Derive the equations of motion of the reaction-wheel inverted pendulum by the Lagrangian method. Four states: body angle, body rate, wheel angle, wheel rate. Input = motor torque. Include viscous friction terms.</t>
  </si>
  <si>
    <t xml:space="preserve">Andrea</t>
  </si>
  <si>
    <t xml:space="preserve">S1</t>
  </si>
  <si>
    <t xml:space="preserve">P0 effort (person-days)</t>
  </si>
  <si>
    <t xml:space="preserve">PF-07</t>
  </si>
  <si>
    <t xml:space="preserve">EoM - 3D cube</t>
  </si>
  <si>
    <t xml:space="preserve">Derive the 3D equations of motion for the cube with three orthogonal wheels, for both the edge pivot and the corner pivot. Define body and inertial frames, the attitude parameterisation, and the coupled wheel/body angular momentum terms.</t>
  </si>
  <si>
    <t xml:space="preserve">S2</t>
  </si>
  <si>
    <t xml:space="preserve">PF-08</t>
  </si>
  <si>
    <t xml:space="preserve">Linearisation &amp; controllability</t>
  </si>
  <si>
    <t xml:space="preserve">Identify the equilibria (edge and corner), linearise about each, and check controllability and observability of the resulting linear systems. Confirm the corner case is fully unstable with coupled axes.</t>
  </si>
  <si>
    <t xml:space="preserve">Task count (excl. milestones)</t>
  </si>
  <si>
    <t xml:space="preserve">PF-09</t>
  </si>
  <si>
    <t xml:space="preserve">Mass / inertia / CoM budget</t>
  </si>
  <si>
    <t xml:space="preserve">Build the mass, inertia and centre-of-mass budget parametrically (symbols, not numbers) so the model stands up before hardware exists. Replace with CAD values at CD-18 and measured values at PF-16.</t>
  </si>
  <si>
    <t xml:space="preserve">Neisa</t>
  </si>
  <si>
    <t xml:space="preserve">PF-10</t>
  </si>
  <si>
    <t xml:space="preserve">Jump-up analysis</t>
  </si>
  <si>
    <t xml:space="preserve">Energy method for the face-to-edge and edge-to-corner tips: CoM rise, inertia about the contact edge, required body rate, required stored angular momentum under an inelastic-collision model, and hence the minimum wheel inertia. Derive the brake impulse requirement dH/dt.</t>
  </si>
  <si>
    <t xml:space="preserve">S3</t>
  </si>
  <si>
    <t xml:space="preserve">PF-07;PF-09</t>
  </si>
  <si>
    <t xml:space="preserve">This is what sizes the wheel - it must be done before CD-02 is frozen</t>
  </si>
  <si>
    <t xml:space="preserve">PF-11a</t>
  </si>
  <si>
    <t xml:space="preserve">TDD - draft body</t>
  </si>
  <si>
    <t xml:space="preserve">EVERY MEMBER WRITES THEIR OWN SECTION, Dejan integrates. Section owners: Introduction, background and ADCS application narrative = Dejan. Project organisation, roles and timeline = Dejan. Scope, use cases and requirements table = Dejan with all leads reviewing. Mathematical modelling = Dejan + Andrea. Control architecture = Nicc + Andrea. Mechanical design intent = Neisa + Suvanna. Electrical design intent, architecture diagram and power budget = Pablo. Testing and validation plan = Nicc. Literature = Suvanna. Placeholder figures are acceptable at this point.</t>
  </si>
  <si>
    <t xml:space="preserve">ALL</t>
  </si>
  <si>
    <t xml:space="preserve">Dejan integrates - see spec for section owners</t>
  </si>
  <si>
    <t xml:space="preserve">PF-02;PF-03;PF-04;PF-05;PF-06;PF-09</t>
  </si>
  <si>
    <t xml:space="preserve">Anti-Parkinson checkpoint: due 26 Jul regardless of the 3 Aug deadline</t>
  </si>
  <si>
    <t xml:space="preserve">Yellow cells are inputs. Blank Start/Finish = deliberately unscheduled stretch task (CT-24, CT-25).</t>
  </si>
  <si>
    <t xml:space="preserve">PF-11b</t>
  </si>
  <si>
    <t xml:space="preserve">TDD - deepen + S1 data</t>
  </si>
  <si>
    <t xml:space="preserve">Upgrade the technical sections: full 3D equations of motion, linearisation and controllability argument, jump-up momentum budget, control architecture. Then insert the S1 hardware evidence - rig photos, balance trace, disturbance-recovery plot, and the measured Kt / J_wheel / friction from CT-11.</t>
  </si>
  <si>
    <t xml:space="preserve">Dejan integrates</t>
  </si>
  <si>
    <t xml:space="preserve">PF-11a;PF-07;PF-08;PF-10;CT-10;CT-11</t>
  </si>
  <si>
    <t xml:space="preserve">Tight - consumes CT-10/CT-11 results almost same-day. Pull CT-10 left if you can</t>
  </si>
  <si>
    <t xml:space="preserve">PF-11c</t>
  </si>
  <si>
    <t xml:space="preserve">TDD - assemble &amp; submit</t>
  </si>
  <si>
    <t xml:space="preserve">Final assembly: make every figure presentable, run a full read-through for internal consistency, tighten the application story, format references, submit.</t>
  </si>
  <si>
    <t xml:space="preserve">DELIVERABLE - Monday 3 August</t>
  </si>
  <si>
    <t xml:space="preserve">PF-12</t>
  </si>
  <si>
    <t xml:space="preserve">Literature &amp; references</t>
  </si>
  <si>
    <t xml:space="preserve">Collect and format the reference set: ETH Cubli (IROS 2012, ECC 2013), One-Wheel Cubli (Mechatronics 2023), CubeSat ADCS design guides, MINERVA-II / MASCOT mission reports, LQR and optimal-control texts. Pull the ETH PDFs for the modelling section.</t>
  </si>
  <si>
    <t xml:space="preserve">Suvanna collates</t>
  </si>
  <si>
    <t xml:space="preserve">P1</t>
  </si>
  <si>
    <t xml:space="preserve">PF-13</t>
  </si>
  <si>
    <t xml:space="preserve">Risk register</t>
  </si>
  <si>
    <t xml:space="preserve">Tabulate the risks with trigger, impact, owner and mitigation. Minimum set: rim lead time, rotor unbalance, printed-bracket compliance, 5 V rail brownout, yaw drift, wrong motor quantity.</t>
  </si>
  <si>
    <t xml:space="preserve">Pablo collates</t>
  </si>
  <si>
    <t xml:space="preserve">PF-14</t>
  </si>
  <si>
    <t xml:space="preserve">Test &amp; validation plan</t>
  </si>
  <si>
    <t xml:space="preserve">Define how each milestone is verified and which numbers get reported: pointing accuracy, slew settling time, jitter / pointing stability, disturbance-recovery time. These are the metrics a real ADCS is graded on - use them instead of 'it balances'.</t>
  </si>
  <si>
    <t xml:space="preserve">PF-15</t>
  </si>
  <si>
    <t xml:space="preserve">System-ID plan</t>
  </si>
  <si>
    <t xml:space="preserve">Specify the experiments that will produce the plant parameters: Kt by torque arm or known-inertia spin-up, J_wheel by J=tau/alpha, viscous friction by coast-down, loop latency by step-response timing.</t>
  </si>
  <si>
    <t xml:space="preserve">Nicc</t>
  </si>
  <si>
    <t xml:space="preserve">PF-16</t>
  </si>
  <si>
    <t xml:space="preserve">Model update - real params</t>
  </si>
  <si>
    <t xml:space="preserve">Substitute the measured parameters from CT-11 and the CAD mass properties from CD-18 into the model, then re-run the torque-authority and jump-up sizing calculations with real numbers.</t>
  </si>
  <si>
    <t xml:space="preserve">CT-11;CD-18</t>
  </si>
  <si>
    <t xml:space="preserve">PF-17a</t>
  </si>
  <si>
    <t xml:space="preserve">Progress note #1</t>
  </si>
  <si>
    <t xml:space="preserve">Short written status against the milestone gates, plus an incremental update to the TDD sections affected by that week's results.</t>
  </si>
  <si>
    <t xml:space="preserve">PF-17b</t>
  </si>
  <si>
    <t xml:space="preserve">Progress note #2</t>
  </si>
  <si>
    <t xml:space="preserve">Same as PF-17a for the following week.</t>
  </si>
  <si>
    <t xml:space="preserve">PF-18</t>
  </si>
  <si>
    <t xml:space="preserve">Final report (TDD v2)</t>
  </si>
  <si>
    <t xml:space="preserve">Extend the TDD into the final deliverable: experimental results and plots for every stage reached, the ADCS metrics table, lessons learned, and an explicit honest statement of what was achieved versus what was scoped.</t>
  </si>
  <si>
    <t xml:space="preserve">CT-19;CT-20;CT-21</t>
  </si>
  <si>
    <t xml:space="preserve">FINAL DELIVERABLE</t>
  </si>
  <si>
    <t xml:space="preserve">PF-19</t>
  </si>
  <si>
    <t xml:space="preserve">Demo video &amp; deck</t>
  </si>
  <si>
    <t xml:space="preserve">Film the demonstrations including 240 fps slow-motion of the jump-up, cut a short video, and build the presentation deck around the stabilise &gt; reorient &gt; propel &gt; traverse capability ladder.</t>
  </si>
  <si>
    <t xml:space="preserve">Suvanna edits</t>
  </si>
  <si>
    <t xml:space="preserve">CT-19;CT-21</t>
  </si>
  <si>
    <t xml:space="preserve">CT-01</t>
  </si>
  <si>
    <t xml:space="preserve">Sim environment + 1-DoF plant</t>
  </si>
  <si>
    <t xml:space="preserve">Set up the simulation environment (Python + CasADi, or MATLAB). Implement the PF-06 plant and validate it: with zero input and zero friction, total energy must be conserved.</t>
  </si>
  <si>
    <t xml:space="preserve">Control &amp; Software</t>
  </si>
  <si>
    <t xml:space="preserve">Software</t>
  </si>
  <si>
    <t xml:space="preserve">CT-02</t>
  </si>
  <si>
    <t xml:space="preserve">LQR 1-DoF (sim)</t>
  </si>
  <si>
    <t xml:space="preserve">Design and tune an LQR about the upright equilibrium in simulation. Sweep robustness against J_wheel error, added loop delay and torque saturation so the gains survive contact with real hardware.</t>
  </si>
  <si>
    <t xml:space="preserve">CT-01;PF-08</t>
  </si>
  <si>
    <t xml:space="preserve">CT-03</t>
  </si>
  <si>
    <t xml:space="preserve">Complementary filter</t>
  </si>
  <si>
    <t xml:space="preserve">Implement tilt estimation v1: gravity vector from the accelerometer for low-frequency tilt, gyro integration for high-frequency rate, blended by a complementary filter. Tune the crossover in simulation with injected noise and bias.</t>
  </si>
  <si>
    <t xml:space="preserve">CT-04</t>
  </si>
  <si>
    <t xml:space="preserve">Firmware architecture</t>
  </si>
  <si>
    <t xml:space="preserve">Decide and document the firmware structure: inner/outer loop rates (the 500 vs 1000 Hz decision driven by the BMI270 I2C read cost), task scheduling, state-machine skeleton, logging hooks, and where safety logic lives.</t>
  </si>
  <si>
    <t xml:space="preserve">The IMU interface decision constrains the whole firmware - make it in week 1</t>
  </si>
  <si>
    <t xml:space="preserve">CT-05</t>
  </si>
  <si>
    <t xml:space="preserve">CAN-FD comms layer</t>
  </si>
  <si>
    <t xml:space="preserve">Write the Teensy-to-moteus communication layer: transmit torque commands, parse the reply frame for wheel position, velocity, current and temperature. The reply frame IS the wheel-state feedback - no separate wiring.</t>
  </si>
  <si>
    <t xml:space="preserve">CT-04;MF-03</t>
  </si>
  <si>
    <t xml:space="preserve">CT-06</t>
  </si>
  <si>
    <t xml:space="preserve">BMI270 driver</t>
  </si>
  <si>
    <t xml:space="preserve">Write the IMU driver and resolve the interface question: check whether the breakout exposes SPI pads; if not, use the FIFO plus a data-ready interrupt, or drop the outer loop to 500 Hz. A blocking 400 kHz I2C read costs ~300 us.</t>
  </si>
  <si>
    <t xml:space="preserve">CT-07</t>
  </si>
  <si>
    <t xml:space="preserve">IMU cal + lever arm</t>
  </si>
  <si>
    <t xml:space="preserve">Calibrate gyro bias and accelerometer scale, record the mounting rotation matrix, and implement the lever-arm correction a_meas = g_body + w x (w x r) + alpha x r. The cube rotates about the contact corner, not about the IMU.</t>
  </si>
  <si>
    <t xml:space="preserve">Skip the lever arm and your tilt estimate is corrupted exactly during fast recovery</t>
  </si>
  <si>
    <t xml:space="preserve">CT-08</t>
  </si>
  <si>
    <t xml:space="preserve">Telemetry link</t>
  </si>
  <si>
    <t xml:space="preserve">Define the Teensy-to-ESP32 UART protocol, stream state over Wi-Fi, and build a ground-station live plot plus command path for start/stop and gain changes. Treat the link as strictly non-safety-critical.</t>
  </si>
  <si>
    <t xml:space="preserve">Pays for itself: tune LQR gains in an afternoon instead of a week</t>
  </si>
  <si>
    <t xml:space="preserve">CT-09</t>
  </si>
  <si>
    <t xml:space="preserve">Safety layer</t>
  </si>
  <si>
    <t xml:space="preserve">Implement the software safety envelope: enable the moteus watchdog, tilt-limit auto-disarm, wheel-speed cap, explicit arm/disarm command, and latching fault states that require a deliberate reset.</t>
  </si>
  <si>
    <t xml:space="preserve">CT-10</t>
  </si>
  <si>
    <t xml:space="preserve">S1 - balance 1-DoF rig</t>
  </si>
  <si>
    <t xml:space="preserve">Bring the full chain up on the rig: IMU &gt; Teensy &gt; CAN-FD &gt; moteus &gt; wheel. Port the LQR and estimator to hardware, then tune gains against live telemetry until the pendulum balances and rejects disturbance.</t>
  </si>
  <si>
    <t xml:space="preserve">Verification</t>
  </si>
  <si>
    <t xml:space="preserve">CT-02;CT-03;CT-07;CT-09;MF-08</t>
  </si>
  <si>
    <t xml:space="preserve">STAGE S1 GATE - protect this task at all costs</t>
  </si>
  <si>
    <t xml:space="preserve">CT-11</t>
  </si>
  <si>
    <t xml:space="preserve">System ID on rig</t>
  </si>
  <si>
    <t xml:space="preserve">Execute the PF-15 experiments on the rig: measure real Kt, wheel inertia by spin-up, viscous friction by coast-down, and end-to-end loop latency. Produce a parameter table that replaces every symbolic value.</t>
  </si>
  <si>
    <t xml:space="preserve">MF-08</t>
  </si>
  <si>
    <t xml:space="preserve">CT-12</t>
  </si>
  <si>
    <t xml:space="preserve">3D plant model (sim)</t>
  </si>
  <si>
    <t xml:space="preserve">Implement the PF-07 3D model in simulation for both edge and corner pivots, and validate it against the analytical derivation and against conserved quantities.</t>
  </si>
  <si>
    <t xml:space="preserve">PF-07;CT-01</t>
  </si>
  <si>
    <t xml:space="preserve">CT-13</t>
  </si>
  <si>
    <t xml:space="preserve">LQR edge (sim)</t>
  </si>
  <si>
    <t xml:space="preserve">Design and tune the LQR for edge balance in simulation, using the CD-18 inertia tensor. Verify torque authority against the recoverable-tilt calculation.</t>
  </si>
  <si>
    <t xml:space="preserve">CT-12;PF-08</t>
  </si>
  <si>
    <t xml:space="preserve">CT-14</t>
  </si>
  <si>
    <t xml:space="preserve">LQR corner (sim)</t>
  </si>
  <si>
    <t xml:space="preserve">Design the fully coupled three-axis LQR for corner balance in simulation. This is the hardest equilibrium - all axes coupled, fully unstable.</t>
  </si>
  <si>
    <t xml:space="preserve">CT-15</t>
  </si>
  <si>
    <t xml:space="preserve">EKF / MEKF estimator</t>
  </si>
  <si>
    <t xml:space="preserve">Upgrade the estimator to a 3D EKF or multiplicative EKF with gyro bias states. Characterise and document the yaw-drift behaviour: with no magnetometer, absolute heading is unobservable.</t>
  </si>
  <si>
    <t xml:space="preserve">CT-07;CT-12</t>
  </si>
  <si>
    <t xml:space="preserve">Yaw unobservability is the hook that ties this project to the star-tracker team</t>
  </si>
  <si>
    <t xml:space="preserve">CT-16</t>
  </si>
  <si>
    <t xml:space="preserve">Momentum management</t>
  </si>
  <si>
    <t xml:space="preserve">Add the outer wheel-speed regulation loop that bleeds stored momentum back toward zero so the wheels do not saturate during long holds. This is the direct analogue of spacecraft momentum desaturation.</t>
  </si>
  <si>
    <t xml:space="preserve">The strongest single ADCS talking point in the project</t>
  </si>
  <si>
    <t xml:space="preserve">CT-17</t>
  </si>
  <si>
    <t xml:space="preserve">Mode state machine</t>
  </si>
  <si>
    <t xml:space="preserve">Implement the mode logic and the guarded transitions between them: idle &gt; arm &gt; edge balance &gt; corner balance &gt; slew &gt; wheel spin-up &gt; jump &gt; catch &gt; safe, with a defined abort path from every state.</t>
  </si>
  <si>
    <t xml:space="preserve">CT-09;CT-04</t>
  </si>
  <si>
    <t xml:space="preserve">CT-18</t>
  </si>
  <si>
    <t xml:space="preserve">S2a - edge balance</t>
  </si>
  <si>
    <t xml:space="preserve">Port the edge controller to the assembled cube and retune against the real inertia, real sensor noise and real actuator saturation. Log the disturbance-recovery response.</t>
  </si>
  <si>
    <t xml:space="preserve">CT-13;CT-15;MF-16</t>
  </si>
  <si>
    <t xml:space="preserve">STAGE S2a GATE</t>
  </si>
  <si>
    <t xml:space="preserve">CT-19</t>
  </si>
  <si>
    <t xml:space="preserve">S2b - corner balance</t>
  </si>
  <si>
    <t xml:space="preserve">Bring up the coupled three-axis controller on the corner equilibrium. Measure and report pointing accuracy and jitter as ADCS metrics rather than a qualitative claim.</t>
  </si>
  <si>
    <t xml:space="preserve">CT-18;CT-14;CT-16</t>
  </si>
  <si>
    <t xml:space="preserve">STAGE S2b GATE</t>
  </si>
  <si>
    <t xml:space="preserve">CT-20</t>
  </si>
  <si>
    <t xml:space="preserve">S2c - commanded slew</t>
  </si>
  <si>
    <t xml:space="preserve">Command a rotation to a specified angle and track it. Report settling time and steady-state error - this is the reference-tracking half of the ADCS story.</t>
  </si>
  <si>
    <t xml:space="preserve">CT-21</t>
  </si>
  <si>
    <t xml:space="preserve">S3a - jump-up</t>
  </si>
  <si>
    <t xml:space="preserve">Implement the jump sequence: wheel spin-up profile to target angular momentum, scripted brake release with tuned timing, open loop. Iterate the release timing against slow-motion footage.</t>
  </si>
  <si>
    <t xml:space="preserve">Andrea, Pablo</t>
  </si>
  <si>
    <t xml:space="preserve">CT-17;MF-17</t>
  </si>
  <si>
    <t xml:space="preserve">STAGE S3 GATE</t>
  </si>
  <si>
    <t xml:space="preserve">CT-22</t>
  </si>
  <si>
    <t xml:space="preserve">S3b - catch controller</t>
  </si>
  <si>
    <t xml:space="preserve">Add the gain-scheduled transition that catches the cube after the jump and settles it into edge or corner balance rather than letting it fall.</t>
  </si>
  <si>
    <t xml:space="preserve">P2</t>
  </si>
  <si>
    <t xml:space="preserve">CT-21;CT-19</t>
  </si>
  <si>
    <t xml:space="preserve">Only attempt if CT-21 works on Monday the 17th</t>
  </si>
  <si>
    <t xml:space="preserve">CT-23</t>
  </si>
  <si>
    <t xml:space="preserve">Log post-processing</t>
  </si>
  <si>
    <t xml:space="preserve">Write the scripts that turn raw telemetry logs into the reported metrics and into publication-quality plots for the report and the deck.</t>
  </si>
  <si>
    <t xml:space="preserve">CT-24</t>
  </si>
  <si>
    <t xml:space="preserve">Walking (stretch)</t>
  </si>
  <si>
    <t xml:space="preserve">Sequence controlled falls between edges and corners, re-stabilising after each, to achieve a multi-step directional traverse.</t>
  </si>
  <si>
    <t xml:space="preserve">NOT SCHEDULED - first item to cut</t>
  </si>
  <si>
    <t xml:space="preserve">CT-25</t>
  </si>
  <si>
    <t xml:space="preserve">NMPC warm start (stretch)</t>
  </si>
  <si>
    <t xml:space="preserve">Explore nonlinear MPC with warm-started IPOPT via CasADi in simulation only, as the future-work section of the report.</t>
  </si>
  <si>
    <t xml:space="preserve">NOT SCHEDULED - future work section only</t>
  </si>
  <si>
    <t xml:space="preserve">CD-01</t>
  </si>
  <si>
    <t xml:space="preserve">Global layout study</t>
  </si>
  <si>
    <t xml:space="preserve">Envelope study in CAD: cube dimension, largest wheel OD the face allows, packaging of three drivers, battery, avionics and perfboard, with the battery centred so the CoM sits at the geometric centre.</t>
  </si>
  <si>
    <t xml:space="preserve">CAD Design</t>
  </si>
  <si>
    <t xml:space="preserve">Suvanna</t>
  </si>
  <si>
    <t xml:space="preserve">Design</t>
  </si>
  <si>
    <t xml:space="preserve">PF-01;PF-09</t>
  </si>
  <si>
    <t xml:space="preserve">CD-02</t>
  </si>
  <si>
    <t xml:space="preserve">Reaction wheel design</t>
  </si>
  <si>
    <t xml:space="preserve">Design the reaction wheel to the PF-10 inertia requirement: ~120-130 mm OD, 3-4 mm steel rim, printed hub bolting straight to the motor bell via the M6 mount and bolt circle. Maximise radius, minimise added mass.</t>
  </si>
  <si>
    <t xml:space="preserve">Neisa, Dejan</t>
  </si>
  <si>
    <t xml:space="preserve">PF-10;CD-01</t>
  </si>
  <si>
    <t xml:space="preserve">Long-lead item, design it FIRST. Buy inertia with radius, not with mass</t>
  </si>
  <si>
    <t xml:space="preserve">CD-03</t>
  </si>
  <si>
    <t xml:space="preserve">Motor mount bracket</t>
  </si>
  <si>
    <t xml:space="preserve">Design the face bracket that carries all reaction torque into the frame. Design the interface so a machined aluminium part can be substituted without redesigning anything else.</t>
  </si>
  <si>
    <t xml:space="preserve">Printed brackets flex - that compliance is an unmodelled resonance that caps control bandwidth</t>
  </si>
  <si>
    <t xml:space="preserve">CD-04</t>
  </si>
  <si>
    <t xml:space="preserve">Ring-magnet carrier</t>
  </si>
  <si>
    <t xml:space="preserve">Design the carrier that holds the diametrically magnetised ring magnet concentric on the rotating bell. Non-ferrous material. Concentricity error propagates straight into commutation error and torque ripple.</t>
  </si>
  <si>
    <t xml:space="preserve">Precision part</t>
  </si>
  <si>
    <t xml:space="preserve">CD-05</t>
  </si>
  <si>
    <t xml:space="preserve">MA600 encoder bracket</t>
  </si>
  <si>
    <t xml:space="preserve">Design the bracket that holds the MA600 centred on the magnet's 4 mm thickness with a gap of 0.5 mm or less. Use slotted holes so the gap can be adjusted during assembly.</t>
  </si>
  <si>
    <t xml:space="preserve">You will not hit the gap first try - design for adjustment</t>
  </si>
  <si>
    <t xml:space="preserve">CD-06</t>
  </si>
  <si>
    <t xml:space="preserve">1-DoF rig CAD</t>
  </si>
  <si>
    <t xml:space="preserve">Design the single-axis test rig: low-friction pivot, motor and wheel mount, IMU mount, counterweight for tuning the equilibrium, and mechanical hard stops to limit travel during failed tuning attempts.</t>
  </si>
  <si>
    <t xml:space="preserve">CD-02;CD-03</t>
  </si>
  <si>
    <t xml:space="preserve">CD-07</t>
  </si>
  <si>
    <t xml:space="preserve">Tooling &amp; jigs CAD</t>
  </si>
  <si>
    <t xml:space="preserve">Design the tooling: knife-edge or arbor wheel-balancing stand, magnet bonding fixture that holds concentricity while adhesive cures, 0.5 mm encoder feeler gauge, and a motor-mount drilling jig for frame orthogonality.</t>
  </si>
  <si>
    <t xml:space="preserve">Highest value-per-gram-of-filament on the whole list</t>
  </si>
  <si>
    <t xml:space="preserve">CD-08</t>
  </si>
  <si>
    <t xml:space="preserve">moteus board tray</t>
  </si>
  <si>
    <t xml:space="preserve">Design the driver mounting tray with standoffs, an airflow gap and cable strain relief. Position it so its SPI cable to the MA600 stays under 20 cm.</t>
  </si>
  <si>
    <t xml:space="preserve">CD-01;CD-05</t>
  </si>
  <si>
    <t xml:space="preserve">CD-09</t>
  </si>
  <si>
    <t xml:space="preserve">Avionics tray</t>
  </si>
  <si>
    <t xml:space="preserve">Design the tray for the Teensy, CAN-FD adapter and ESP32-C6, keeping the Wi-Fi antenna clear of metal structure and away from the motor phase wiring.</t>
  </si>
  <si>
    <t xml:space="preserve">CD-10</t>
  </si>
  <si>
    <t xml:space="preserve">Perfboard mount</t>
  </si>
  <si>
    <t xml:space="preserve">Design the mount for the 15 x 9 cm power and signal board, sized to a cube face with clearance for the XT90 entry and the DC-DC module.</t>
  </si>
  <si>
    <t xml:space="preserve">CD-11</t>
  </si>
  <si>
    <t xml:space="preserve">Battery cradle</t>
  </si>
  <si>
    <t xml:space="preserve">Design a rigid, symmetric, centrally located cradle with strap slots for the 6S pack. A battery that shifts during a jump changes the plant mid-flight.</t>
  </si>
  <si>
    <t xml:space="preserve">The battery is ~30% of cube mass - it sets the CoM and the inertia tensor</t>
  </si>
  <si>
    <t xml:space="preserve">CD-12</t>
  </si>
  <si>
    <t xml:space="preserve">Frame design</t>
  </si>
  <si>
    <t xml:space="preserve">Design the primary structure: three mutually orthogonal motor faces in a closed, torsionally stiff assembly, with corner joints if rod or extrusion based. Verify stiffness by hand before committing to fabrication.</t>
  </si>
  <si>
    <t xml:space="preserve">CD-01;CD-03</t>
  </si>
  <si>
    <t xml:space="preserve">CD-13</t>
  </si>
  <si>
    <t xml:space="preserve">Wheel burst shields</t>
  </si>
  <si>
    <t xml:space="preserve">Design 3 mm or thicker shields over each wheel. They contain a burst and they stop fingers reaching a rim moving at ~47 m/s.</t>
  </si>
  <si>
    <t xml:space="preserve">CD-14</t>
  </si>
  <si>
    <t xml:space="preserve">Corner caps &amp; edge protectors</t>
  </si>
  <si>
    <t xml:space="preserve">Design TPU caps for the eight corners and protectors for the twelve edges. Note that these are the balancing contact surface, so their geometry and compliance enter the plant model.</t>
  </si>
  <si>
    <t xml:space="preserve">CD-15</t>
  </si>
  <si>
    <t xml:space="preserve">Cable clips</t>
  </si>
  <si>
    <t xml:space="preserve">Design clips and strain reliefs that route every cable clear of the rotating wheels.</t>
  </si>
  <si>
    <t xml:space="preserve">A cable that snags a spinning wheel ends the project</t>
  </si>
  <si>
    <t xml:space="preserve">CD-16</t>
  </si>
  <si>
    <t xml:space="preserve">Brake caliper &amp; linkage</t>
  </si>
  <si>
    <t xml:space="preserve">Design the brake: caliper or pawl acting on the wheel rim, plus the servo horn linkage. This is a mechanical-advantage problem - the MG92B gives ~3 kg.cm, so it needs a lever ratio, not a direct push.</t>
  </si>
  <si>
    <t xml:space="preserve">CD-02;PF-10</t>
  </si>
  <si>
    <t xml:space="preserve">CD-17</t>
  </si>
  <si>
    <t xml:space="preserve">Face panels</t>
  </si>
  <si>
    <t xml:space="preserve">Design ribbed face panels that add torsional stiffness and give the demonstrator a finished appearance.</t>
  </si>
  <si>
    <t xml:space="preserve">CD-18</t>
  </si>
  <si>
    <t xml:space="preserve">Mass properties export</t>
  </si>
  <si>
    <t xml:space="preserve">Extract the assembled inertia tensor and CoM location from the CAD model and hand them to the control team as the numbers that replace the PF-09 symbols.</t>
  </si>
  <si>
    <t xml:space="preserve">CD-12;CD-11</t>
  </si>
  <si>
    <t xml:space="preserve">CD-19</t>
  </si>
  <si>
    <t xml:space="preserve">CAD freeze v1</t>
  </si>
  <si>
    <t xml:space="preserve">Freeze the design and release the manufacturing package: drawings, DXF for laser cutting, and the print-ready STL set. After this point changes go through a change note.</t>
  </si>
  <si>
    <t xml:space="preserve">CD-03;CD-04;CD-05;CD-08;CD-09;CD-10;CD-11;CD-12;CD-13</t>
  </si>
  <si>
    <t xml:space="preserve">MF-01</t>
  </si>
  <si>
    <t xml:space="preserve">Procurement order</t>
  </si>
  <si>
    <t xml:space="preserve">Place the order for everything missing from the BOM: laser-cut steel rims, frame stock, M3 fasteners with heat-set inserts and threadlocker, 3x XT30 pairs, 470-1000 uF / &gt;=50 V low-ESR bus capacitor, E-stop and XT90-S anti-spark connector, 40-60 A fuse, 14 AWG silicone wire, bullet connectors, PETG/TPU/CF-nylon filament, LiPo charger, safe bag and cell alarm, plus one spare motor and one spare moteus.</t>
  </si>
  <si>
    <t xml:space="preserve">Manufacturing &amp; Circuits</t>
  </si>
  <si>
    <t xml:space="preserve">Procurement</t>
  </si>
  <si>
    <t xml:space="preserve">3-10 day lead time. This date does NOT move with the document deadline</t>
  </si>
  <si>
    <t xml:space="preserve">MF-02</t>
  </si>
  <si>
    <t xml:space="preserve">Bench PSU &amp; safety kit</t>
  </si>
  <si>
    <t xml:space="preserve">Secure a current-limited bench supply (0-30 V, &gt;=5 A), set up the test area, and assemble the safety kit: burst shields, eye protection, LiPo-safe storage and charging location.</t>
  </si>
  <si>
    <t xml:space="preserve">A current-limited supply is the difference between a bug and a fire</t>
  </si>
  <si>
    <t xml:space="preserve">MF-03</t>
  </si>
  <si>
    <t xml:space="preserve">Bench bring-up (1 axis)</t>
  </si>
  <si>
    <t xml:space="preserve">Bring up one motor, one moteus and one MA600 on the bench supply. Set the unique CAN ID first, run moteus_tool calibration and the MA600 bias-current trim, then verify in tview: encoder counts monotonic over a full revolution, commanded current tracks measured, no cogging faults.</t>
  </si>
  <si>
    <t xml:space="preserve">Build</t>
  </si>
  <si>
    <t xml:space="preserve">Set CAN IDs before the boards are bussed together or you cannot address them</t>
  </si>
  <si>
    <t xml:space="preserve">MF-04</t>
  </si>
  <si>
    <t xml:space="preserve">Print queue A - jigs</t>
  </si>
  <si>
    <t xml:space="preserve">Print the tooling from CD-07: balancing arbor, magnet bonding fixture, feeler gauge, drilling jig. These go first because everything downstream depends on them.</t>
  </si>
  <si>
    <t xml:space="preserve">The printer is a serial bottleneck - queue order is a scheduling decision</t>
  </si>
  <si>
    <t xml:space="preserve">MF-05</t>
  </si>
  <si>
    <t xml:space="preserve">Print queue B - S1 parts</t>
  </si>
  <si>
    <t xml:space="preserve">Print the single-axis rig parts: rig frame, motor bracket, wheel hub, magnet carrier, encoder bracket. Expect two or three iterations on the encoder bracket gap.</t>
  </si>
  <si>
    <t xml:space="preserve">CD-06;MF-04</t>
  </si>
  <si>
    <t xml:space="preserve">MF-06</t>
  </si>
  <si>
    <t xml:space="preserve">Fabricate wheels x4</t>
  </si>
  <si>
    <t xml:space="preserve">Fabricate four reaction wheels - three for the cube and one spare so the 1-DoF rig survives cube integration. Cut or receive the rims, print the hubs, bolt them together, bond the ring magnets in the fixture.</t>
  </si>
  <si>
    <t xml:space="preserve">CD-02;MF-01;MF-05</t>
  </si>
  <si>
    <t xml:space="preserve">Build FOUR, not three - keep a development bench alive</t>
  </si>
  <si>
    <t xml:space="preserve">MF-07</t>
  </si>
  <si>
    <t xml:space="preserve">Balance &amp; spin test</t>
  </si>
  <si>
    <t xml:space="preserve">Statically balance every wheel on the arbor, then spin each to full speed inside a containment box behind a shield while logging vibration on the IMU. Rebalance until the vibration floor is acceptable.</t>
  </si>
  <si>
    <t xml:space="preserve">MF-06;MF-04</t>
  </si>
  <si>
    <t xml:space="preserve">1 g of unbalance at 60 mm and 7000 rpm produces 32 N. Most-skipped step, commonest cause of a noisy filter</t>
  </si>
  <si>
    <t xml:space="preserve">Assemble 1-DoF rig</t>
  </si>
  <si>
    <t xml:space="preserve">Assemble the rig: motor, balanced wheel, encoder set to the 0.5 mm gap with the feeler gauge, IMU mounted rigidly and aligned, wiring, and mechanical hard stops.</t>
  </si>
  <si>
    <t xml:space="preserve">MF-05;MF-07;MF-03</t>
  </si>
  <si>
    <t xml:space="preserve">MF-09</t>
  </si>
  <si>
    <t xml:space="preserve">Power &amp; signal schematic</t>
  </si>
  <si>
    <t xml:space="preserve">Draw the full power and signal schematic before any soldering: bus distribution, DC-DC, decoupling, CAN split termination, connector pinouts, star ground point.</t>
  </si>
  <si>
    <t xml:space="preserve">An ad-hoc perfboard is undebuggable and will eat two days</t>
  </si>
  <si>
    <t xml:space="preserve">MF-10</t>
  </si>
  <si>
    <t xml:space="preserve">Build perfboard</t>
  </si>
  <si>
    <t xml:space="preserve">Build the power and signal board: XT90 input, LM2596 set to 5.00 V and verified with a multimeter BEFORE anything is connected, 5 V bulk capacitance, CAN split termination (2x 60.4 ohm plus 4.7 nF) at each bus end, headers for Teensy, adapter, ESP32, IMU and servo, single star ground.</t>
  </si>
  <si>
    <t xml:space="preserve">MF-09;MF-01</t>
  </si>
  <si>
    <t xml:space="preserve">The 100 uF caps are 16 V parts - they must never touch the 25.2 V bus</t>
  </si>
  <si>
    <t xml:space="preserve">MF-11</t>
  </si>
  <si>
    <t xml:space="preserve">Harness fabrication</t>
  </si>
  <si>
    <t xml:space="preserve">Build the harnesses: XT90 to 3x XT30 power distribution, JST-PH3 CAN daisy chain, motor phase leads, inline E-stop and fuse, and a separate 5 V feed for the servo.</t>
  </si>
  <si>
    <t xml:space="preserve">MF-12</t>
  </si>
  <si>
    <t xml:space="preserve">Print queue C - Tier 1</t>
  </si>
  <si>
    <t xml:space="preserve">Print the structural set: 3x motor bracket, 3x wheel hub, 3x magnet carrier, 3x encoder bracket, 3x moteus tray, avionics tray, battery cradle, frame corner joints.</t>
  </si>
  <si>
    <t xml:space="preserve">CD-19;MF-05</t>
  </si>
  <si>
    <t xml:space="preserve">MF-13</t>
  </si>
  <si>
    <t xml:space="preserve">Fabricate frame</t>
  </si>
  <si>
    <t xml:space="preserve">Cut and drill the frame stock using the drilling jig, assemble it, and verify that the three motor faces are mutually orthogonal before anything else is mounted.</t>
  </si>
  <si>
    <t xml:space="preserve">CD-12;MF-01</t>
  </si>
  <si>
    <t xml:space="preserve">MF-14</t>
  </si>
  <si>
    <t xml:space="preserve">Print queue D - Tier 2</t>
  </si>
  <si>
    <t xml:space="preserve">Print the protective set: 8x TPU corner caps, 12x edge protectors, 3x burst shields, cable clips and strain reliefs.</t>
  </si>
  <si>
    <t xml:space="preserve">CD-13;CD-14;MF-12</t>
  </si>
  <si>
    <t xml:space="preserve">MF-15</t>
  </si>
  <si>
    <t xml:space="preserve">Cube integration</t>
  </si>
  <si>
    <t xml:space="preserve">Assemble the complete cube: three motor, wheel and encoder assemblies onto the frame, battery centred and strapped, drivers, avionics and perfboard mounted, full harness installed, all cabling clipped clear of the wheels.</t>
  </si>
  <si>
    <t xml:space="preserve">Neisa, Suvanna</t>
  </si>
  <si>
    <t xml:space="preserve">MF-12;MF-13;MF-11;MF-07</t>
  </si>
  <si>
    <t xml:space="preserve">MF-16</t>
  </si>
  <si>
    <t xml:space="preserve">Power-on / smoke test</t>
  </si>
  <si>
    <t xml:space="preserve">First power-up on the bench supply, then the battery: confirm all three moteus are addressable on one bus, the IMU streams, telemetry is live, the E-stop cuts power, and the 5 V rail does not brown out when three motors step simultaneously.</t>
  </si>
  <si>
    <t xml:space="preserve">MF-15;CT-05;CT-08</t>
  </si>
  <si>
    <t xml:space="preserve">MF-17</t>
  </si>
  <si>
    <t xml:space="preserve">Brake mechanism build</t>
  </si>
  <si>
    <t xml:space="preserve">Fabricate and fit the brake caliper and servo linkage, then bench-test it on the rig wheel: measure the achieved deceleration and compare it against the PF-10 impulse requirement.</t>
  </si>
  <si>
    <t xml:space="preserve">CD-16;MF-12</t>
  </si>
  <si>
    <t xml:space="preserve">MF-18</t>
  </si>
  <si>
    <t xml:space="preserve">Rework buffer</t>
  </si>
  <si>
    <t xml:space="preserve">Reserved capacity for repairs, reprints, resoldering and replacing whatever breaks. Distributed across the build weeks rather than booked as a block.</t>
  </si>
  <si>
    <t xml:space="preserve">You will need it</t>
  </si>
  <si>
    <t xml:space="preserve">M0</t>
  </si>
  <si>
    <t xml:space="preserve">GATE: Procurement</t>
  </si>
  <si>
    <t xml:space="preserve">PASS CRITERION: all open questions answered in writing, and the full MF-01 order confirmed as placed.</t>
  </si>
  <si>
    <t xml:space="preserve">Milestone</t>
  </si>
  <si>
    <t xml:space="preserve">All</t>
  </si>
  <si>
    <t xml:space="preserve">PF-01;MF-01</t>
  </si>
  <si>
    <t xml:space="preserve">M0b</t>
  </si>
  <si>
    <t xml:space="preserve">GATE: TDD draft body</t>
  </si>
  <si>
    <t xml:space="preserve">PASS CRITERION: PF-11a complete internally. Not a submission - this exists purely to stop the 3 August deadline from absorbing build time.</t>
  </si>
  <si>
    <t xml:space="preserve">M1</t>
  </si>
  <si>
    <t xml:space="preserve">GATE: Electrical chain</t>
  </si>
  <si>
    <t xml:space="preserve">PASS CRITERION: a motor spins under a torque command issued by the Teensy over CAN-FD, and the MA600 reads cleanly and monotonically over a full revolution.</t>
  </si>
  <si>
    <t xml:space="preserve">MF-03;CT-05;CT-09</t>
  </si>
  <si>
    <t xml:space="preserve">M2</t>
  </si>
  <si>
    <t xml:space="preserve">GATE: Stage S1 complete</t>
  </si>
  <si>
    <t xml:space="preserve">PASS CRITERION: the 1-DoF pendulum balances for at least 60 s and recovers from a finger poke; Kt, J_wheel and friction are measured and tabulated.</t>
  </si>
  <si>
    <t xml:space="preserve">CT-10;CT-11</t>
  </si>
  <si>
    <t xml:space="preserve">M3</t>
  </si>
  <si>
    <t xml:space="preserve">GATE: TDD v1 submitted</t>
  </si>
  <si>
    <t xml:space="preserve">PASS CRITERION: document delivered, including the S1 experimental results and the measured plant parameters.</t>
  </si>
  <si>
    <t xml:space="preserve">DELIVERABLE</t>
  </si>
  <si>
    <t xml:space="preserve">M4</t>
  </si>
  <si>
    <t xml:space="preserve">GATE: Cube integrated</t>
  </si>
  <si>
    <t xml:space="preserve">PASS CRITERION: powered cube with all three moteus addressable, IMU streaming, telemetry live, and no brownout under a simultaneous three-motor step.</t>
  </si>
  <si>
    <t xml:space="preserve">M5</t>
  </si>
  <si>
    <t xml:space="preserve">GATE: Stage S2a - edge</t>
  </si>
  <si>
    <t xml:space="preserve">PASS CRITERION: the cube balances on an edge for at least 60 s and rejects a disturbance.</t>
  </si>
  <si>
    <t xml:space="preserve">If this fails, kill stage S3 the same day and redirect to corner balance plus documentation</t>
  </si>
  <si>
    <t xml:space="preserve">M6</t>
  </si>
  <si>
    <t xml:space="preserve">GATE: Stage S2b/c - corner &amp; slew</t>
  </si>
  <si>
    <t xml:space="preserve">PASS CRITERION: the cube balances on a corner with pointing accuracy and jitter measured, and completes a commanded slew with a reported settling time.</t>
  </si>
  <si>
    <t xml:space="preserve">CT-19;CT-20</t>
  </si>
  <si>
    <t xml:space="preserve">M7</t>
  </si>
  <si>
    <t xml:space="preserve">GATE: Stage S3 - jump</t>
  </si>
  <si>
    <t xml:space="preserve">PASS CRITERION: a face-to-edge jump-up executed and captured on slow-motion video.</t>
  </si>
  <si>
    <t xml:space="preserve">M8</t>
  </si>
  <si>
    <t xml:space="preserve">GATE: Final delivery</t>
  </si>
  <si>
    <t xml:space="preserve">PASS CRITERION: TDD v2, demo video and presentation delivered.</t>
  </si>
  <si>
    <t xml:space="preserve">PF-18;PF-19</t>
  </si>
  <si>
    <t xml:space="preserve">CUBLI PROJECT - WBS LEGEND &amp; ASSUMPTIONS</t>
  </si>
  <si>
    <t xml:space="preserve">COLUMNS</t>
  </si>
  <si>
    <t xml:space="preserve">Unique task ID. Prefix = workstream. M-codes are zero-duration milestone gates.</t>
  </si>
  <si>
    <t xml:space="preserve">Short label - use this one as the Gantt bar label.</t>
  </si>
  <si>
    <t xml:space="preserve">Specification</t>
  </si>
  <si>
    <t xml:space="preserve">What actually has to be done. This is the working instruction for whoever owns the task.</t>
  </si>
  <si>
    <t xml:space="preserve">Work content for ONE person. Not the same as calendar span - parallel work is expected.</t>
  </si>
  <si>
    <t xml:space="preserve">Start / Finish</t>
  </si>
  <si>
    <t xml:space="preserve">Scheduled calendar dates. Blank = deliberately unscheduled stretch task.</t>
  </si>
  <si>
    <t xml:space="preserve">Formula = Finish - Start + 1.</t>
  </si>
  <si>
    <t xml:space="preserve">Formula = Start - project start + 1. Use as the X offset for a stacked-bar Gantt.</t>
  </si>
  <si>
    <t xml:space="preserve">Semicolon-separated codes that must complete first.</t>
  </si>
  <si>
    <t xml:space="preserve">The failure mode or the reason the task exists. Read before starting the task.</t>
  </si>
  <si>
    <t xml:space="preserve">CATEGORY (workstream)</t>
  </si>
  <si>
    <t xml:space="preserve">Modelling, derivations, requirements, TDD and final report. Cross-cutting: one owner, everyone contributes.</t>
  </si>
  <si>
    <t xml:space="preserve">Control law design, estimation, embedded firmware, telemetry, hardware bring-up tests.</t>
  </si>
  <si>
    <t xml:space="preserve">All mechanical design: wheels, brackets, frame, tooling, brake linkage.</t>
  </si>
  <si>
    <t xml:space="preserve">Procurement, 3D printing, fabrication, soldering, harnessing, assembly, integration tests.</t>
  </si>
  <si>
    <t xml:space="preserve">Zero-effort gate. Binary pass/fail, no partial credit.</t>
  </si>
  <si>
    <t xml:space="preserve">TYPOLOGY</t>
  </si>
  <si>
    <t xml:space="preserve">Derivation, calculation, budget.</t>
  </si>
  <si>
    <t xml:space="preserve">CAD or schematic design work.</t>
  </si>
  <si>
    <t xml:space="preserve">Physical fabrication, printing, assembly, soldering.</t>
  </si>
  <si>
    <t xml:space="preserve">Code written on a computer.</t>
  </si>
  <si>
    <t xml:space="preserve">Test on hardware against a stated criterion.</t>
  </si>
  <si>
    <t xml:space="preserve">Planning and documentation.</t>
  </si>
  <si>
    <t xml:space="preserve">Buying or securing equipment.</t>
  </si>
  <si>
    <t xml:space="preserve">PRIORITY</t>
  </si>
  <si>
    <t xml:space="preserve">Critical path. Slipping this slips the project end date.</t>
  </si>
  <si>
    <t xml:space="preserve">Important, has float, but a milestone is degraded without it.</t>
  </si>
  <si>
    <t xml:space="preserve">Stretch / nice-to-have. Cut first.</t>
  </si>
  <si>
    <t xml:space="preserve">STAGE (prototype)</t>
  </si>
  <si>
    <t xml:space="preserve">Common foundation - applies to all prototypes.</t>
  </si>
  <si>
    <t xml:space="preserve">1-DoF reaction-wheel inverted pendulum (ETH-style single axis).</t>
  </si>
  <si>
    <t xml:space="preserve">3D Cubli - edge balance, corner balance, commanded slew.</t>
  </si>
  <si>
    <t xml:space="preserve">Jump-up with the braking system.</t>
  </si>
  <si>
    <t xml:space="preserve">ASSUMPTIONS (change these and the schedule changes)</t>
  </si>
  <si>
    <t xml:space="preserve">Team size</t>
  </si>
  <si>
    <t xml:space="preserve">4-6 people: one control lead, one CAD lead, one hardware lead, one documentation owner. ASSUMPTION - not confirmed.</t>
  </si>
  <si>
    <t xml:space="preserve">Working days</t>
  </si>
  <si>
    <t xml:space="preserve">All 7 days per week treated as working days. If weekends are off, ~8 working days are lost and stage S3 is not achievable.</t>
  </si>
  <si>
    <t xml:space="preserve">3D printer</t>
  </si>
  <si>
    <t xml:space="preserve">ONE printer, ~40-60 h total, strictly serial. Queue order: jigs &gt; S1 rig &gt; precision encoder/magnet parts &gt; cube structure &gt; TPU protection.</t>
  </si>
  <si>
    <t xml:space="preserve">Actuation sets</t>
  </si>
  <si>
    <t xml:space="preserve">3 motors + 3 moteus + 3 MA600 per cube, plus one spare set so the 1-DoF rig survives cube integration. UNCONFIRMED - BOM open question #1.</t>
  </si>
  <si>
    <t xml:space="preserve">Cube geometry</t>
  </si>
  <si>
    <t xml:space="preserve">150 mm, ~2.0 kg. Source: cubli_hardware_architecture.md section 5, itself an assumption.</t>
  </si>
  <si>
    <t xml:space="preserve">Procurement lead time</t>
  </si>
  <si>
    <t xml:space="preserve">3-10 days on laser-cut steel rims and frame stock. Single largest schedule risk.</t>
  </si>
  <si>
    <t xml:space="preserve">Deadlines</t>
  </si>
  <si>
    <t xml:space="preserve">Preliminary TDD: Monday 3 August 2026. Final delivery: Wednesday 19 August 2026. Both user-confirmed.</t>
  </si>
  <si>
    <t xml:space="preserve">HOW TO BUILD THE GANTT</t>
  </si>
  <si>
    <t xml:space="preserve">1</t>
  </si>
  <si>
    <t xml:space="preserve">Select Task Name (B), Start (L) and Span (N). Insert &gt; Chart &gt; Stacked Bar.</t>
  </si>
  <si>
    <t xml:space="preserve">2</t>
  </si>
  <si>
    <t xml:space="preserve">Series 1 = Start, Series 2 = Span. Set Series 1 fill to No Fill - it becomes the invisible offset.</t>
  </si>
  <si>
    <t xml:space="preserve">3</t>
  </si>
  <si>
    <t xml:space="preserve">Format the vertical axis with 'Categories in reverse order' so the first task sits at the top.</t>
  </si>
  <si>
    <t xml:space="preserve">4</t>
  </si>
  <si>
    <t xml:space="preserve">Set the horizontal axis Minimum to 46226 (23-Jul-2026) and Maximum to 46253 (19-Aug-2026).</t>
  </si>
  <si>
    <t xml:space="preserve">5</t>
  </si>
  <si>
    <t xml:space="preserve">Colour bars by Category (D), or filter column E to chart one person's workload.</t>
  </si>
  <si>
    <t xml:space="preserve">6</t>
  </si>
  <si>
    <t xml:space="preserve">Milestone rows have zero effort and a 1-day span - format them as diamonds or a distinct colour.</t>
  </si>
  <si>
    <t xml:space="preserve">RESOURCE LOADING - lead-owned effort per person</t>
  </si>
  <si>
    <t xml:space="preserve">Counts only tasks where the person is the LEAD. Support effort is real but not counted here, so these are lower bounds. 28 calendar days available (23 Jul - 19 Aug).</t>
  </si>
  <si>
    <t xml:space="preserve">Person</t>
  </si>
  <si>
    <t xml:space="preserve">Role</t>
  </si>
  <si>
    <t xml:space="preserve">Lead tasks</t>
  </si>
  <si>
    <t xml:space="preserve">Lead effort</t>
  </si>
  <si>
    <t xml:space="preserve">Shared doc share</t>
  </si>
  <si>
    <t xml:space="preserve">TOTAL effort</t>
  </si>
  <si>
    <t xml:space="preserve">P0 lead effort</t>
  </si>
  <si>
    <t xml:space="preserve">Required availability</t>
  </si>
  <si>
    <t xml:space="preserve">Assessment</t>
  </si>
  <si>
    <t xml:space="preserve">CAD &amp; 3D printing</t>
  </si>
  <si>
    <t xml:space="preserve">CAD &amp; mechanical fab</t>
  </si>
  <si>
    <t xml:space="preserve">Mathematics &amp; formulation (doc owner)</t>
  </si>
  <si>
    <t xml:space="preserve">Control - firmware &amp; estimation</t>
  </si>
  <si>
    <t xml:space="preserve">Control - control law &amp; simulation</t>
  </si>
  <si>
    <t xml:space="preserve">Circuits, layout &amp; manufacturing</t>
  </si>
  <si>
    <t xml:space="preserve">TOTAL</t>
  </si>
  <si>
    <t xml:space="preserve">Calendar days available</t>
  </si>
  <si>
    <t xml:space="preserve">&lt;- edit these two cells</t>
  </si>
  <si>
    <t xml:space="preserve">Team size (shared doc divisor)</t>
  </si>
  <si>
    <t xml:space="preserve">HOW THE WORK WAS SPLIT</t>
  </si>
  <si>
    <t xml:space="preserve">Control (Nicc / Andrea)</t>
  </si>
  <si>
    <t xml:space="preserve">Split by function, not by turns. Nicc owns firmware, drivers, estimation and the safety layer; Andrea owns the plant models, LQR design and simulation. They pair on every hardware bring-up task (CT-10, CT-18, CT-19, CT-21) because those are the ones where a second pair of eyes on the telemetry is worth more than a second task being started.</t>
  </si>
  <si>
    <t xml:space="preserve">CAD (Neisa / Suvanna)</t>
  </si>
  <si>
    <t xml:space="preserve">Neisa owns structure and the parts that feed her own print queue (frame, brackets, trays, CAD freeze). Suvanna owns the precision and long-lead items: reaction wheel, magnet carrier, brake linkage, mass properties. Suvanna also absorbs the wheel fabrication and balancing, which is mechanical work that would otherwise land on Pablo.</t>
  </si>
  <si>
    <t xml:space="preserve">Manufacturing (Pablo)</t>
  </si>
  <si>
    <t xml:space="preserve">As originally scoped, manufacturing was 25 person-days for one person, on the critical path twice. All four print queues (MF-04, MF-05, MF-12, MF-14) have been reassigned to Neisa, and wheel fabrication, balancing, frame cutting and the brake build to Suvanna. Pablo keeps procurement, bench bring-up, schematic, perfboard, harness, integration and the smoke test - the electrical spine.</t>
  </si>
  <si>
    <t xml:space="preserve">Formulation (Dejan)</t>
  </si>
  <si>
    <t xml:space="preserve">Dejan is both the mathematician and the document owner, which is the second-heaviest single load in the project. Literature review and the demo video/deck moved to Suvanna, and the risk register to Pablo. The TDD assembly tasks (PF-11a/b/c) must be genuinely co-written - each workstream lead drafts their own section and Dejan integrates, otherwise he becomes the bottleneck in week 2.</t>
  </si>
  <si>
    <t xml:space="preserve">Warning</t>
  </si>
  <si>
    <t xml:space="preserve">These figures count LEAD effort only. Support time is real and unbudgeted, so treat every 'required availability' percentage as a floor, not a forecast.</t>
  </si>
  <si>
    <t xml:space="preserve">CUBLI PROJECT GANTT   -   23 July to 19 August 2026</t>
  </si>
  <si>
    <t xml:space="preserve">Bars are formula-driven from the WBS sheet: change a Start or Finish there and this chart updates. Colour = workstream. Diamonds = milestone gates.</t>
  </si>
  <si>
    <t xml:space="preserve">W1</t>
  </si>
  <si>
    <t xml:space="preserve">W2</t>
  </si>
  <si>
    <t xml:space="preserve">W3</t>
  </si>
  <si>
    <t xml:space="preserve">W4</t>
  </si>
  <si>
    <t xml:space="preserve">Owner</t>
  </si>
  <si>
    <t xml:space="preserve">LEGEND</t>
  </si>
  <si>
    <t xml:space="preserve">D</t>
  </si>
  <si>
    <t xml:space="preserve">Milestone gate</t>
  </si>
  <si>
    <t xml:space="preserve">Grey columns are weekends. NOTE: this plan treats them as working days.</t>
  </si>
  <si>
    <t xml:space="preserve">Classic stacked-bar Gantt (same data, chart form)</t>
  </si>
  <si>
    <t xml:space="preserve">Series 1 is the invisible offset (Start), series 2 is the bar (Span). Right-click a bar &gt; Format Data Series to recolour by workstream.</t>
  </si>
</sst>
</file>

<file path=xl/styles.xml><?xml version="1.0" encoding="utf-8"?>
<styleSheet xmlns="http://schemas.openxmlformats.org/spreadsheetml/2006/main">
  <numFmts count="9">
    <numFmt numFmtId="164" formatCode="General"/>
    <numFmt numFmtId="165" formatCode="0.00"/>
    <numFmt numFmtId="166" formatCode="dd\-mmm"/>
    <numFmt numFmtId="167" formatCode="dd\-mmm\-yyyy"/>
    <numFmt numFmtId="168" formatCode="0.0"/>
    <numFmt numFmtId="169" formatCode="General"/>
    <numFmt numFmtId="170" formatCode="0%"/>
    <numFmt numFmtId="171" formatCode="dd/mm"/>
    <numFmt numFmtId="172" formatCode=";;;@"/>
  </numFmts>
  <fonts count="25">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b val="true"/>
      <sz val="10"/>
      <color rgb="FF9C0006"/>
      <name val="Arial"/>
      <family val="0"/>
      <charset val="1"/>
    </font>
    <font>
      <b val="true"/>
      <sz val="11"/>
      <color rgb="FF0000FF"/>
      <name val="Arial"/>
      <family val="0"/>
      <charset val="1"/>
    </font>
    <font>
      <b val="true"/>
      <sz val="11"/>
      <name val="Arial"/>
      <family val="0"/>
      <charset val="1"/>
    </font>
    <font>
      <i val="true"/>
      <sz val="9"/>
      <name val="Arial"/>
      <family val="0"/>
      <charset val="1"/>
    </font>
    <font>
      <b val="true"/>
      <sz val="10"/>
      <color rgb="FF9C6500"/>
      <name val="Arial"/>
      <family val="0"/>
      <charset val="1"/>
    </font>
    <font>
      <b val="true"/>
      <sz val="10"/>
      <color rgb="FF808080"/>
      <name val="Arial"/>
      <family val="0"/>
      <charset val="1"/>
    </font>
    <font>
      <b val="true"/>
      <sz val="14"/>
      <color rgb="FF1F3864"/>
      <name val="Arial"/>
      <family val="0"/>
      <charset val="1"/>
    </font>
    <font>
      <b val="true"/>
      <sz val="12"/>
      <color rgb="FF1F3864"/>
      <name val="Arial"/>
      <family val="0"/>
      <charset val="1"/>
    </font>
    <font>
      <b val="true"/>
      <sz val="15"/>
      <color rgb="FF1F3864"/>
      <name val="Arial"/>
      <family val="0"/>
      <charset val="1"/>
    </font>
    <font>
      <b val="true"/>
      <sz val="8"/>
      <color rgb="FF808080"/>
      <name val="Arial"/>
      <family val="0"/>
      <charset val="1"/>
    </font>
    <font>
      <b val="true"/>
      <sz val="8"/>
      <color rgb="FFFFFFFF"/>
      <name val="Arial"/>
      <family val="0"/>
      <charset val="1"/>
    </font>
    <font>
      <sz val="9"/>
      <name val="Arial"/>
      <family val="0"/>
      <charset val="1"/>
    </font>
    <font>
      <b val="true"/>
      <sz val="9"/>
      <color rgb="FFC00000"/>
      <name val="Wingdings"/>
      <family val="0"/>
      <charset val="1"/>
    </font>
    <font>
      <b val="true"/>
      <sz val="11"/>
      <color rgb="FF1F3864"/>
      <name val="Arial"/>
      <family val="0"/>
      <charset val="1"/>
    </font>
    <font>
      <b val="true"/>
      <sz val="10"/>
      <color rgb="FFC00000"/>
      <name val="Wingdings"/>
      <family val="0"/>
      <charset val="1"/>
    </font>
    <font>
      <b val="true"/>
      <sz val="13"/>
      <color rgb="FF1F3864"/>
      <name val="Arial"/>
      <family val="0"/>
      <charset val="1"/>
    </font>
    <font>
      <b val="true"/>
      <sz val="18"/>
      <color rgb="FF000000"/>
      <name val="Calibri"/>
      <family val="2"/>
    </font>
    <font>
      <sz val="10"/>
      <color rgb="FF000000"/>
      <name val="Calibri"/>
      <family val="2"/>
    </font>
  </fonts>
  <fills count="16">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FC7CE"/>
        <bgColor rgb="FFFCE4D6"/>
      </patternFill>
    </fill>
    <fill>
      <patternFill patternType="solid">
        <fgColor rgb="FFFFFF00"/>
        <bgColor rgb="FFFFFF00"/>
      </patternFill>
    </fill>
    <fill>
      <patternFill patternType="solid">
        <fgColor rgb="FFFFEB9C"/>
        <bgColor rgb="FFFFF2CC"/>
      </patternFill>
    </fill>
    <fill>
      <patternFill patternType="solid">
        <fgColor rgb="FFDDEBF7"/>
        <bgColor rgb="FFEDEDED"/>
      </patternFill>
    </fill>
    <fill>
      <patternFill patternType="solid">
        <fgColor rgb="FFEDEDED"/>
        <bgColor rgb="FFF2F2F2"/>
      </patternFill>
    </fill>
    <fill>
      <patternFill patternType="solid">
        <fgColor rgb="FFFFF2CC"/>
        <bgColor rgb="FFFCE4D6"/>
      </patternFill>
    </fill>
    <fill>
      <patternFill patternType="solid">
        <fgColor rgb="FFFCE4D6"/>
        <bgColor rgb="FFFFF2CC"/>
      </patternFill>
    </fill>
    <fill>
      <patternFill patternType="solid">
        <fgColor rgb="FFD9D9D9"/>
        <bgColor rgb="FFDDEBF7"/>
      </patternFill>
    </fill>
    <fill>
      <patternFill patternType="solid">
        <fgColor rgb="FF70AD47"/>
        <bgColor rgb="FF878787"/>
      </patternFill>
    </fill>
    <fill>
      <patternFill patternType="solid">
        <fgColor rgb="FF2E75B6"/>
        <bgColor rgb="FF0066CC"/>
      </patternFill>
    </fill>
    <fill>
      <patternFill patternType="solid">
        <fgColor rgb="FFBF8F00"/>
        <bgColor rgb="FF9C6500"/>
      </patternFill>
    </fill>
    <fill>
      <patternFill patternType="solid">
        <fgColor rgb="FFC55A11"/>
        <bgColor rgb="FF9C65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6" fontId="6" fillId="0" borderId="1" xfId="0" applyFont="true" applyBorder="true" applyAlignment="true" applyProtection="false">
      <alignment horizontal="center" vertical="top" textRotation="0" wrapText="false" indent="0" shrinkToFit="false"/>
      <protection locked="true" hidden="false"/>
    </xf>
    <xf numFmtId="167" fontId="8" fillId="5"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6" fillId="7" borderId="1" xfId="0" applyFont="true" applyBorder="true" applyAlignment="true" applyProtection="false">
      <alignment horizontal="center" vertical="top" textRotation="0" wrapText="false" indent="0" shrinkToFit="false"/>
      <protection locked="true" hidden="false"/>
    </xf>
    <xf numFmtId="164" fontId="6" fillId="7" borderId="1" xfId="0" applyFont="true" applyBorder="true" applyAlignment="true" applyProtection="false">
      <alignment horizontal="left" vertical="top" textRotation="0" wrapText="false" indent="0" shrinkToFit="false"/>
      <protection locked="true" hidden="false"/>
    </xf>
    <xf numFmtId="164" fontId="12" fillId="8" borderId="1" xfId="0" applyFont="true" applyBorder="true" applyAlignment="true" applyProtection="false">
      <alignment horizontal="center" vertical="top" textRotation="0" wrapText="false" indent="0" shrinkToFit="false"/>
      <protection locked="true" hidden="false"/>
    </xf>
    <xf numFmtId="164" fontId="6" fillId="9" borderId="1" xfId="0" applyFont="true" applyBorder="true" applyAlignment="true" applyProtection="false">
      <alignment horizontal="center" vertical="top" textRotation="0" wrapText="false" indent="0" shrinkToFit="false"/>
      <protection locked="true" hidden="false"/>
    </xf>
    <xf numFmtId="164" fontId="6" fillId="9" borderId="1" xfId="0" applyFont="true" applyBorder="true" applyAlignment="true" applyProtection="false">
      <alignment horizontal="left" vertical="top" textRotation="0" wrapText="false" indent="0" shrinkToFit="false"/>
      <protection locked="true" hidden="false"/>
    </xf>
    <xf numFmtId="164" fontId="6" fillId="10" borderId="1" xfId="0" applyFont="true" applyBorder="true" applyAlignment="true" applyProtection="false">
      <alignment horizontal="center" vertical="top" textRotation="0" wrapText="false" indent="0" shrinkToFit="false"/>
      <protection locked="true" hidden="false"/>
    </xf>
    <xf numFmtId="164" fontId="6" fillId="10" borderId="1" xfId="0" applyFont="true" applyBorder="true" applyAlignment="true" applyProtection="false">
      <alignment horizontal="left" vertical="top" textRotation="0" wrapText="false" indent="0" shrinkToFit="false"/>
      <protection locked="true" hidden="false"/>
    </xf>
    <xf numFmtId="164" fontId="5" fillId="11" borderId="1" xfId="0" applyFont="true" applyBorder="true" applyAlignment="true" applyProtection="false">
      <alignment horizontal="center" vertical="top" textRotation="0" wrapText="false" indent="0" shrinkToFit="false"/>
      <protection locked="true" hidden="false"/>
    </xf>
    <xf numFmtId="164" fontId="5" fillId="11" borderId="1" xfId="0" applyFont="true" applyBorder="true" applyAlignment="true" applyProtection="false">
      <alignment horizontal="left" vertical="top" textRotation="0" wrapText="false" indent="0" shrinkToFit="false"/>
      <protection locked="true" hidden="false"/>
    </xf>
    <xf numFmtId="164" fontId="6" fillId="11" borderId="1" xfId="0" applyFont="true" applyBorder="true" applyAlignment="true" applyProtection="false">
      <alignment horizontal="center"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center" vertical="bottom" textRotation="0" wrapText="false" indent="0" shrinkToFit="false"/>
      <protection locked="true" hidden="false"/>
    </xf>
    <xf numFmtId="168" fontId="6" fillId="0" borderId="1" xfId="0" applyFont="true" applyBorder="true" applyAlignment="true" applyProtection="false">
      <alignment horizontal="center" vertical="bottom" textRotation="0" wrapText="false" indent="0" shrinkToFit="false"/>
      <protection locked="true" hidden="false"/>
    </xf>
    <xf numFmtId="170" fontId="6" fillId="0" borderId="1" xfId="0" applyFont="true" applyBorder="true" applyAlignment="true" applyProtection="false">
      <alignment horizontal="center"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71" fontId="17" fillId="2" borderId="1" xfId="0" applyFont="true" applyBorder="true" applyAlignment="true" applyProtection="false">
      <alignment horizontal="center" vertical="center" textRotation="9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6" fontId="18" fillId="0" borderId="1" xfId="0" applyFont="true" applyBorder="true" applyAlignment="true" applyProtection="false">
      <alignment horizontal="center" vertical="center" textRotation="0" wrapText="false" indent="0" shrinkToFit="false"/>
      <protection locked="true" hidden="false"/>
    </xf>
    <xf numFmtId="172" fontId="19"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12"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0" fillId="15" borderId="1" xfId="0" applyFont="fals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3864"/>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808080"/>
          <bgColor rgb="FF000000"/>
        </patternFill>
      </fill>
    </dxf>
    <dxf>
      <fill>
        <patternFill patternType="solid">
          <fgColor rgb="FF9C0006"/>
          <bgColor rgb="FF000000"/>
        </patternFill>
      </fill>
    </dxf>
    <dxf>
      <fill>
        <patternFill patternType="solid">
          <fgColor rgb="FF9C6500"/>
          <bgColor rgb="FF000000"/>
        </patternFill>
      </fill>
    </dxf>
    <dxf>
      <fill>
        <patternFill>
          <bgColor rgb="FF70AD47"/>
        </patternFill>
      </fill>
    </dxf>
    <dxf>
      <fill>
        <patternFill>
          <bgColor rgb="FF2E75B6"/>
        </patternFill>
      </fill>
    </dxf>
    <dxf>
      <fill>
        <patternFill>
          <bgColor rgb="FFBF8F00"/>
        </patternFill>
      </fill>
    </dxf>
    <dxf>
      <fill>
        <patternFill>
          <bgColor rgb="FFC55A11"/>
        </patternFill>
      </fill>
    </dxf>
    <dxf>
      <fill>
        <patternFill>
          <bgColor rgb="FFF2F2F2"/>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EB9C"/>
      <rgbColor rgb="FFEDEDED"/>
      <rgbColor rgb="FFFCE4D6"/>
      <rgbColor rgb="FFCC99FF"/>
      <rgbColor rgb="FFFFC7CE"/>
      <rgbColor rgb="FF2E75B6"/>
      <rgbColor rgb="FF33CCCC"/>
      <rgbColor rgb="FF99CC00"/>
      <rgbColor rgb="FFFFCC00"/>
      <rgbColor rgb="FFBF8F00"/>
      <rgbColor rgb="FFC55A11"/>
      <rgbColor rgb="FF666699"/>
      <rgbColor rgb="FF878787"/>
      <rgbColor rgb="FF1F3864"/>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Cubli project schedule</a:t>
            </a:r>
          </a:p>
        </c:rich>
      </c:tx>
      <c:overlay val="0"/>
      <c:spPr>
        <a:noFill/>
        <a:ln w="0">
          <a:noFill/>
        </a:ln>
      </c:spPr>
    </c:title>
    <c:autoTitleDeleted val="0"/>
    <c:plotArea>
      <c:barChart>
        <c:barDir val="bar"/>
        <c:grouping val="stacked"/>
        <c:varyColors val="0"/>
        <c:ser>
          <c:idx val="0"/>
          <c:order val="0"/>
          <c:tx>
            <c:strRef>
              <c:f>WBS!L1</c:f>
              <c:strCache>
                <c:ptCount val="1"/>
                <c:pt idx="0">
                  <c:v>Start</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WBS!$B$2:$B$95</c:f>
              <c:strCache>
                <c:ptCount val="94"/>
                <c:pt idx="0">
                  <c:v>Close open questions</c:v>
                </c:pt>
                <c:pt idx="1">
                  <c:v>Problem statement &amp; narrative</c:v>
                </c:pt>
                <c:pt idx="2">
                  <c:v>Scope &amp; requirements</c:v>
                </c:pt>
                <c:pt idx="3">
                  <c:v>Milestones &amp; staging</c:v>
                </c:pt>
                <c:pt idx="4">
                  <c:v>Roles &amp; RACI</c:v>
                </c:pt>
                <c:pt idx="5">
                  <c:v>EoM - 1-DoF pendulum</c:v>
                </c:pt>
                <c:pt idx="6">
                  <c:v>EoM - 3D cube</c:v>
                </c:pt>
                <c:pt idx="7">
                  <c:v>Linearisation &amp; controllability</c:v>
                </c:pt>
                <c:pt idx="8">
                  <c:v>Mass / inertia / CoM budget</c:v>
                </c:pt>
                <c:pt idx="9">
                  <c:v>Jump-up analysis</c:v>
                </c:pt>
                <c:pt idx="10">
                  <c:v>TDD - draft body</c:v>
                </c:pt>
                <c:pt idx="11">
                  <c:v>TDD - deepen + S1 data</c:v>
                </c:pt>
                <c:pt idx="12">
                  <c:v>TDD - assemble &amp; submit</c:v>
                </c:pt>
                <c:pt idx="13">
                  <c:v>Literature &amp; references</c:v>
                </c:pt>
                <c:pt idx="14">
                  <c:v>Risk register</c:v>
                </c:pt>
                <c:pt idx="15">
                  <c:v>Test &amp; validation plan</c:v>
                </c:pt>
                <c:pt idx="16">
                  <c:v>System-ID plan</c:v>
                </c:pt>
                <c:pt idx="17">
                  <c:v>Model update - real params</c:v>
                </c:pt>
                <c:pt idx="18">
                  <c:v>Progress note #1</c:v>
                </c:pt>
                <c:pt idx="19">
                  <c:v>Progress note #2</c:v>
                </c:pt>
                <c:pt idx="20">
                  <c:v>Final report (TDD v2)</c:v>
                </c:pt>
                <c:pt idx="21">
                  <c:v>Demo video &amp; deck</c:v>
                </c:pt>
                <c:pt idx="22">
                  <c:v>Sim environment + 1-DoF plant</c:v>
                </c:pt>
                <c:pt idx="23">
                  <c:v>LQR 1-DoF (sim)</c:v>
                </c:pt>
                <c:pt idx="24">
                  <c:v>Complementary filter</c:v>
                </c:pt>
                <c:pt idx="25">
                  <c:v>Firmware architecture</c:v>
                </c:pt>
                <c:pt idx="26">
                  <c:v>CAN-FD comms layer</c:v>
                </c:pt>
                <c:pt idx="27">
                  <c:v>BMI270 driver</c:v>
                </c:pt>
                <c:pt idx="28">
                  <c:v>IMU cal + lever arm</c:v>
                </c:pt>
                <c:pt idx="29">
                  <c:v>Telemetry link</c:v>
                </c:pt>
                <c:pt idx="30">
                  <c:v>Safety layer</c:v>
                </c:pt>
                <c:pt idx="31">
                  <c:v>S1 - balance 1-DoF rig</c:v>
                </c:pt>
                <c:pt idx="32">
                  <c:v>System ID on rig</c:v>
                </c:pt>
                <c:pt idx="33">
                  <c:v>3D plant model (sim)</c:v>
                </c:pt>
                <c:pt idx="34">
                  <c:v>LQR edge (sim)</c:v>
                </c:pt>
                <c:pt idx="35">
                  <c:v>LQR corner (sim)</c:v>
                </c:pt>
                <c:pt idx="36">
                  <c:v>EKF / MEKF estimator</c:v>
                </c:pt>
                <c:pt idx="37">
                  <c:v>Momentum management</c:v>
                </c:pt>
                <c:pt idx="38">
                  <c:v>Mode state machine</c:v>
                </c:pt>
                <c:pt idx="39">
                  <c:v>S2a - edge balance</c:v>
                </c:pt>
                <c:pt idx="40">
                  <c:v>S2b - corner balance</c:v>
                </c:pt>
                <c:pt idx="41">
                  <c:v>S2c - commanded slew</c:v>
                </c:pt>
                <c:pt idx="42">
                  <c:v>S3a - jump-up</c:v>
                </c:pt>
                <c:pt idx="43">
                  <c:v>S3b - catch controller</c:v>
                </c:pt>
                <c:pt idx="44">
                  <c:v>Log post-processing</c:v>
                </c:pt>
                <c:pt idx="45">
                  <c:v>Walking (stretch)</c:v>
                </c:pt>
                <c:pt idx="46">
                  <c:v>NMPC warm start (stretch)</c:v>
                </c:pt>
                <c:pt idx="47">
                  <c:v>Global layout study</c:v>
                </c:pt>
                <c:pt idx="48">
                  <c:v>Reaction wheel design</c:v>
                </c:pt>
                <c:pt idx="49">
                  <c:v>Motor mount bracket</c:v>
                </c:pt>
                <c:pt idx="50">
                  <c:v>Ring-magnet carrier</c:v>
                </c:pt>
                <c:pt idx="51">
                  <c:v>MA600 encoder bracket</c:v>
                </c:pt>
                <c:pt idx="52">
                  <c:v>1-DoF rig CAD</c:v>
                </c:pt>
                <c:pt idx="53">
                  <c:v>Tooling &amp; jigs CAD</c:v>
                </c:pt>
                <c:pt idx="54">
                  <c:v>moteus board tray</c:v>
                </c:pt>
                <c:pt idx="55">
                  <c:v>Avionics tray</c:v>
                </c:pt>
                <c:pt idx="56">
                  <c:v>Perfboard mount</c:v>
                </c:pt>
                <c:pt idx="57">
                  <c:v>Battery cradle</c:v>
                </c:pt>
                <c:pt idx="58">
                  <c:v>Frame design</c:v>
                </c:pt>
                <c:pt idx="59">
                  <c:v>Wheel burst shields</c:v>
                </c:pt>
                <c:pt idx="60">
                  <c:v>Corner caps &amp; edge protectors</c:v>
                </c:pt>
                <c:pt idx="61">
                  <c:v>Cable clips</c:v>
                </c:pt>
                <c:pt idx="62">
                  <c:v>Brake caliper &amp; linkage</c:v>
                </c:pt>
                <c:pt idx="63">
                  <c:v>Face panels</c:v>
                </c:pt>
                <c:pt idx="64">
                  <c:v>Mass properties export</c:v>
                </c:pt>
                <c:pt idx="65">
                  <c:v>CAD freeze v1</c:v>
                </c:pt>
                <c:pt idx="66">
                  <c:v>Procurement order</c:v>
                </c:pt>
                <c:pt idx="67">
                  <c:v>Bench PSU &amp; safety kit</c:v>
                </c:pt>
                <c:pt idx="68">
                  <c:v>Bench bring-up (1 axis)</c:v>
                </c:pt>
                <c:pt idx="69">
                  <c:v>Print queue A - jigs</c:v>
                </c:pt>
                <c:pt idx="70">
                  <c:v>Print queue B - S1 parts</c:v>
                </c:pt>
                <c:pt idx="71">
                  <c:v>Fabricate wheels x4</c:v>
                </c:pt>
                <c:pt idx="72">
                  <c:v>Balance &amp; spin test</c:v>
                </c:pt>
                <c:pt idx="73">
                  <c:v>Assemble 1-DoF rig</c:v>
                </c:pt>
                <c:pt idx="74">
                  <c:v>Power &amp; signal schematic</c:v>
                </c:pt>
                <c:pt idx="75">
                  <c:v>Build perfboard</c:v>
                </c:pt>
                <c:pt idx="76">
                  <c:v>Harness fabrication</c:v>
                </c:pt>
                <c:pt idx="77">
                  <c:v>Print queue C - Tier 1</c:v>
                </c:pt>
                <c:pt idx="78">
                  <c:v>Fabricate frame</c:v>
                </c:pt>
                <c:pt idx="79">
                  <c:v>Print queue D - Tier 2</c:v>
                </c:pt>
                <c:pt idx="80">
                  <c:v>Cube integration</c:v>
                </c:pt>
                <c:pt idx="81">
                  <c:v>Power-on / smoke test</c:v>
                </c:pt>
                <c:pt idx="82">
                  <c:v>Brake mechanism build</c:v>
                </c:pt>
                <c:pt idx="83">
                  <c:v>Rework buffer</c:v>
                </c:pt>
                <c:pt idx="84">
                  <c:v>GATE: Procurement</c:v>
                </c:pt>
                <c:pt idx="85">
                  <c:v>GATE: TDD draft body</c:v>
                </c:pt>
                <c:pt idx="86">
                  <c:v>GATE: Electrical chain</c:v>
                </c:pt>
                <c:pt idx="87">
                  <c:v>GATE: Stage S1 complete</c:v>
                </c:pt>
                <c:pt idx="88">
                  <c:v>GATE: TDD v1 submitted</c:v>
                </c:pt>
                <c:pt idx="89">
                  <c:v>GATE: Cube integrated</c:v>
                </c:pt>
                <c:pt idx="90">
                  <c:v>GATE: Stage S2a - edge</c:v>
                </c:pt>
                <c:pt idx="91">
                  <c:v>GATE: Stage S2b/c - corner &amp; slew</c:v>
                </c:pt>
                <c:pt idx="92">
                  <c:v>GATE: Stage S3 - jump</c:v>
                </c:pt>
                <c:pt idx="93">
                  <c:v>GATE: Final delivery</c:v>
                </c:pt>
              </c:strCache>
            </c:strRef>
          </c:cat>
          <c:val>
            <c:numRef>
              <c:f>WBS!$L$2:$L$95</c:f>
              <c:numCache>
                <c:formatCode>dd\-mmm</c:formatCode>
                <c:ptCount val="94"/>
                <c:pt idx="0">
                  <c:v>46226</c:v>
                </c:pt>
                <c:pt idx="1">
                  <c:v>46226</c:v>
                </c:pt>
                <c:pt idx="2">
                  <c:v>46227</c:v>
                </c:pt>
                <c:pt idx="3">
                  <c:v>46228</c:v>
                </c:pt>
                <c:pt idx="4">
                  <c:v>46226</c:v>
                </c:pt>
                <c:pt idx="5">
                  <c:v>46227</c:v>
                </c:pt>
                <c:pt idx="6">
                  <c:v>46230</c:v>
                </c:pt>
                <c:pt idx="7">
                  <c:v>46232</c:v>
                </c:pt>
                <c:pt idx="8">
                  <c:v>46228</c:v>
                </c:pt>
                <c:pt idx="9">
                  <c:v>46233</c:v>
                </c:pt>
                <c:pt idx="10">
                  <c:v>46228</c:v>
                </c:pt>
                <c:pt idx="11">
                  <c:v>46235</c:v>
                </c:pt>
                <c:pt idx="12">
                  <c:v>46237</c:v>
                </c:pt>
                <c:pt idx="13">
                  <c:v>46228</c:v>
                </c:pt>
                <c:pt idx="14">
                  <c:v>46232</c:v>
                </c:pt>
                <c:pt idx="15">
                  <c:v>46233</c:v>
                </c:pt>
                <c:pt idx="16">
                  <c:v>46231</c:v>
                </c:pt>
                <c:pt idx="17">
                  <c:v>46237</c:v>
                </c:pt>
                <c:pt idx="18">
                  <c:v>46243</c:v>
                </c:pt>
                <c:pt idx="19">
                  <c:v>46250</c:v>
                </c:pt>
                <c:pt idx="20">
                  <c:v>46249</c:v>
                </c:pt>
                <c:pt idx="21">
                  <c:v>46251</c:v>
                </c:pt>
                <c:pt idx="22">
                  <c:v>46226</c:v>
                </c:pt>
                <c:pt idx="23">
                  <c:v>46229</c:v>
                </c:pt>
                <c:pt idx="24">
                  <c:v>46230</c:v>
                </c:pt>
                <c:pt idx="25">
                  <c:v>46227</c:v>
                </c:pt>
                <c:pt idx="26">
                  <c:v>46230</c:v>
                </c:pt>
                <c:pt idx="27">
                  <c:v>46231</c:v>
                </c:pt>
                <c:pt idx="28">
                  <c:v>46232</c:v>
                </c:pt>
                <c:pt idx="29">
                  <c:v>46233</c:v>
                </c:pt>
                <c:pt idx="30">
                  <c:v>46233</c:v>
                </c:pt>
                <c:pt idx="31">
                  <c:v>46234</c:v>
                </c:pt>
                <c:pt idx="32">
                  <c:v>46235</c:v>
                </c:pt>
                <c:pt idx="33">
                  <c:v>46237</c:v>
                </c:pt>
                <c:pt idx="34">
                  <c:v>46239</c:v>
                </c:pt>
                <c:pt idx="35">
                  <c:v>46239</c:v>
                </c:pt>
                <c:pt idx="36">
                  <c:v>46240</c:v>
                </c:pt>
                <c:pt idx="37">
                  <c:v>46244</c:v>
                </c:pt>
                <c:pt idx="38">
                  <c:v>46241</c:v>
                </c:pt>
                <c:pt idx="39">
                  <c:v>46244</c:v>
                </c:pt>
                <c:pt idx="40">
                  <c:v>46248</c:v>
                </c:pt>
                <c:pt idx="41">
                  <c:v>46249</c:v>
                </c:pt>
                <c:pt idx="42">
                  <c:v>46251</c:v>
                </c:pt>
                <c:pt idx="43">
                  <c:v>46252</c:v>
                </c:pt>
                <c:pt idx="44">
                  <c:v>46240</c:v>
                </c:pt>
                <c:pt idx="47">
                  <c:v>46226</c:v>
                </c:pt>
                <c:pt idx="48">
                  <c:v>46227</c:v>
                </c:pt>
                <c:pt idx="49">
                  <c:v>46230</c:v>
                </c:pt>
                <c:pt idx="50">
                  <c:v>46230</c:v>
                </c:pt>
                <c:pt idx="51">
                  <c:v>46231</c:v>
                </c:pt>
                <c:pt idx="52">
                  <c:v>46230</c:v>
                </c:pt>
                <c:pt idx="53">
                  <c:v>46228</c:v>
                </c:pt>
                <c:pt idx="54">
                  <c:v>46235</c:v>
                </c:pt>
                <c:pt idx="55">
                  <c:v>46235</c:v>
                </c:pt>
                <c:pt idx="56">
                  <c:v>46236</c:v>
                </c:pt>
                <c:pt idx="57">
                  <c:v>46234</c:v>
                </c:pt>
                <c:pt idx="58">
                  <c:v>46232</c:v>
                </c:pt>
                <c:pt idx="59">
                  <c:v>46235</c:v>
                </c:pt>
                <c:pt idx="60">
                  <c:v>46236</c:v>
                </c:pt>
                <c:pt idx="61">
                  <c:v>46236</c:v>
                </c:pt>
                <c:pt idx="62">
                  <c:v>46240</c:v>
                </c:pt>
                <c:pt idx="63">
                  <c:v>46244</c:v>
                </c:pt>
                <c:pt idx="64">
                  <c:v>46236</c:v>
                </c:pt>
                <c:pt idx="65">
                  <c:v>46237</c:v>
                </c:pt>
                <c:pt idx="66">
                  <c:v>46226</c:v>
                </c:pt>
                <c:pt idx="67">
                  <c:v>46226</c:v>
                </c:pt>
                <c:pt idx="68">
                  <c:v>46228</c:v>
                </c:pt>
                <c:pt idx="69">
                  <c:v>46228</c:v>
                </c:pt>
                <c:pt idx="70">
                  <c:v>46230</c:v>
                </c:pt>
                <c:pt idx="71">
                  <c:v>46231</c:v>
                </c:pt>
                <c:pt idx="72">
                  <c:v>46233</c:v>
                </c:pt>
                <c:pt idx="73">
                  <c:v>46234</c:v>
                </c:pt>
                <c:pt idx="74">
                  <c:v>46232</c:v>
                </c:pt>
                <c:pt idx="75">
                  <c:v>46237</c:v>
                </c:pt>
                <c:pt idx="76">
                  <c:v>46239</c:v>
                </c:pt>
                <c:pt idx="77">
                  <c:v>46237</c:v>
                </c:pt>
                <c:pt idx="78">
                  <c:v>46237</c:v>
                </c:pt>
                <c:pt idx="79">
                  <c:v>46241</c:v>
                </c:pt>
                <c:pt idx="80">
                  <c:v>46241</c:v>
                </c:pt>
                <c:pt idx="81">
                  <c:v>46243</c:v>
                </c:pt>
                <c:pt idx="82">
                  <c:v>46244</c:v>
                </c:pt>
                <c:pt idx="83">
                  <c:v>46237</c:v>
                </c:pt>
                <c:pt idx="84">
                  <c:v>46227</c:v>
                </c:pt>
                <c:pt idx="85">
                  <c:v>46229</c:v>
                </c:pt>
                <c:pt idx="86">
                  <c:v>46234</c:v>
                </c:pt>
                <c:pt idx="87">
                  <c:v>46236</c:v>
                </c:pt>
                <c:pt idx="88">
                  <c:v>46237</c:v>
                </c:pt>
                <c:pt idx="89">
                  <c:v>46243</c:v>
                </c:pt>
                <c:pt idx="90">
                  <c:v>46247</c:v>
                </c:pt>
                <c:pt idx="91">
                  <c:v>46250</c:v>
                </c:pt>
                <c:pt idx="92">
                  <c:v>46252</c:v>
                </c:pt>
                <c:pt idx="93">
                  <c:v>46253</c:v>
                </c:pt>
              </c:numCache>
            </c:numRef>
          </c:val>
        </c:ser>
        <c:ser>
          <c:idx val="1"/>
          <c:order val="1"/>
          <c:tx>
            <c:strRef>
              <c:f>WBS!N1</c:f>
              <c:strCache>
                <c:ptCount val="1"/>
                <c:pt idx="0">
                  <c:v>Span (cal. days)</c:v>
                </c:pt>
              </c:strCache>
            </c:strRef>
          </c:tx>
          <c:spPr>
            <a:solidFill>
              <a:srgbClr val="2e75b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WBS!$B$2:$B$95</c:f>
              <c:strCache>
                <c:ptCount val="94"/>
                <c:pt idx="0">
                  <c:v>Close open questions</c:v>
                </c:pt>
                <c:pt idx="1">
                  <c:v>Problem statement &amp; narrative</c:v>
                </c:pt>
                <c:pt idx="2">
                  <c:v>Scope &amp; requirements</c:v>
                </c:pt>
                <c:pt idx="3">
                  <c:v>Milestones &amp; staging</c:v>
                </c:pt>
                <c:pt idx="4">
                  <c:v>Roles &amp; RACI</c:v>
                </c:pt>
                <c:pt idx="5">
                  <c:v>EoM - 1-DoF pendulum</c:v>
                </c:pt>
                <c:pt idx="6">
                  <c:v>EoM - 3D cube</c:v>
                </c:pt>
                <c:pt idx="7">
                  <c:v>Linearisation &amp; controllability</c:v>
                </c:pt>
                <c:pt idx="8">
                  <c:v>Mass / inertia / CoM budget</c:v>
                </c:pt>
                <c:pt idx="9">
                  <c:v>Jump-up analysis</c:v>
                </c:pt>
                <c:pt idx="10">
                  <c:v>TDD - draft body</c:v>
                </c:pt>
                <c:pt idx="11">
                  <c:v>TDD - deepen + S1 data</c:v>
                </c:pt>
                <c:pt idx="12">
                  <c:v>TDD - assemble &amp; submit</c:v>
                </c:pt>
                <c:pt idx="13">
                  <c:v>Literature &amp; references</c:v>
                </c:pt>
                <c:pt idx="14">
                  <c:v>Risk register</c:v>
                </c:pt>
                <c:pt idx="15">
                  <c:v>Test &amp; validation plan</c:v>
                </c:pt>
                <c:pt idx="16">
                  <c:v>System-ID plan</c:v>
                </c:pt>
                <c:pt idx="17">
                  <c:v>Model update - real params</c:v>
                </c:pt>
                <c:pt idx="18">
                  <c:v>Progress note #1</c:v>
                </c:pt>
                <c:pt idx="19">
                  <c:v>Progress note #2</c:v>
                </c:pt>
                <c:pt idx="20">
                  <c:v>Final report (TDD v2)</c:v>
                </c:pt>
                <c:pt idx="21">
                  <c:v>Demo video &amp; deck</c:v>
                </c:pt>
                <c:pt idx="22">
                  <c:v>Sim environment + 1-DoF plant</c:v>
                </c:pt>
                <c:pt idx="23">
                  <c:v>LQR 1-DoF (sim)</c:v>
                </c:pt>
                <c:pt idx="24">
                  <c:v>Complementary filter</c:v>
                </c:pt>
                <c:pt idx="25">
                  <c:v>Firmware architecture</c:v>
                </c:pt>
                <c:pt idx="26">
                  <c:v>CAN-FD comms layer</c:v>
                </c:pt>
                <c:pt idx="27">
                  <c:v>BMI270 driver</c:v>
                </c:pt>
                <c:pt idx="28">
                  <c:v>IMU cal + lever arm</c:v>
                </c:pt>
                <c:pt idx="29">
                  <c:v>Telemetry link</c:v>
                </c:pt>
                <c:pt idx="30">
                  <c:v>Safety layer</c:v>
                </c:pt>
                <c:pt idx="31">
                  <c:v>S1 - balance 1-DoF rig</c:v>
                </c:pt>
                <c:pt idx="32">
                  <c:v>System ID on rig</c:v>
                </c:pt>
                <c:pt idx="33">
                  <c:v>3D plant model (sim)</c:v>
                </c:pt>
                <c:pt idx="34">
                  <c:v>LQR edge (sim)</c:v>
                </c:pt>
                <c:pt idx="35">
                  <c:v>LQR corner (sim)</c:v>
                </c:pt>
                <c:pt idx="36">
                  <c:v>EKF / MEKF estimator</c:v>
                </c:pt>
                <c:pt idx="37">
                  <c:v>Momentum management</c:v>
                </c:pt>
                <c:pt idx="38">
                  <c:v>Mode state machine</c:v>
                </c:pt>
                <c:pt idx="39">
                  <c:v>S2a - edge balance</c:v>
                </c:pt>
                <c:pt idx="40">
                  <c:v>S2b - corner balance</c:v>
                </c:pt>
                <c:pt idx="41">
                  <c:v>S2c - commanded slew</c:v>
                </c:pt>
                <c:pt idx="42">
                  <c:v>S3a - jump-up</c:v>
                </c:pt>
                <c:pt idx="43">
                  <c:v>S3b - catch controller</c:v>
                </c:pt>
                <c:pt idx="44">
                  <c:v>Log post-processing</c:v>
                </c:pt>
                <c:pt idx="45">
                  <c:v>Walking (stretch)</c:v>
                </c:pt>
                <c:pt idx="46">
                  <c:v>NMPC warm start (stretch)</c:v>
                </c:pt>
                <c:pt idx="47">
                  <c:v>Global layout study</c:v>
                </c:pt>
                <c:pt idx="48">
                  <c:v>Reaction wheel design</c:v>
                </c:pt>
                <c:pt idx="49">
                  <c:v>Motor mount bracket</c:v>
                </c:pt>
                <c:pt idx="50">
                  <c:v>Ring-magnet carrier</c:v>
                </c:pt>
                <c:pt idx="51">
                  <c:v>MA600 encoder bracket</c:v>
                </c:pt>
                <c:pt idx="52">
                  <c:v>1-DoF rig CAD</c:v>
                </c:pt>
                <c:pt idx="53">
                  <c:v>Tooling &amp; jigs CAD</c:v>
                </c:pt>
                <c:pt idx="54">
                  <c:v>moteus board tray</c:v>
                </c:pt>
                <c:pt idx="55">
                  <c:v>Avionics tray</c:v>
                </c:pt>
                <c:pt idx="56">
                  <c:v>Perfboard mount</c:v>
                </c:pt>
                <c:pt idx="57">
                  <c:v>Battery cradle</c:v>
                </c:pt>
                <c:pt idx="58">
                  <c:v>Frame design</c:v>
                </c:pt>
                <c:pt idx="59">
                  <c:v>Wheel burst shields</c:v>
                </c:pt>
                <c:pt idx="60">
                  <c:v>Corner caps &amp; edge protectors</c:v>
                </c:pt>
                <c:pt idx="61">
                  <c:v>Cable clips</c:v>
                </c:pt>
                <c:pt idx="62">
                  <c:v>Brake caliper &amp; linkage</c:v>
                </c:pt>
                <c:pt idx="63">
                  <c:v>Face panels</c:v>
                </c:pt>
                <c:pt idx="64">
                  <c:v>Mass properties export</c:v>
                </c:pt>
                <c:pt idx="65">
                  <c:v>CAD freeze v1</c:v>
                </c:pt>
                <c:pt idx="66">
                  <c:v>Procurement order</c:v>
                </c:pt>
                <c:pt idx="67">
                  <c:v>Bench PSU &amp; safety kit</c:v>
                </c:pt>
                <c:pt idx="68">
                  <c:v>Bench bring-up (1 axis)</c:v>
                </c:pt>
                <c:pt idx="69">
                  <c:v>Print queue A - jigs</c:v>
                </c:pt>
                <c:pt idx="70">
                  <c:v>Print queue B - S1 parts</c:v>
                </c:pt>
                <c:pt idx="71">
                  <c:v>Fabricate wheels x4</c:v>
                </c:pt>
                <c:pt idx="72">
                  <c:v>Balance &amp; spin test</c:v>
                </c:pt>
                <c:pt idx="73">
                  <c:v>Assemble 1-DoF rig</c:v>
                </c:pt>
                <c:pt idx="74">
                  <c:v>Power &amp; signal schematic</c:v>
                </c:pt>
                <c:pt idx="75">
                  <c:v>Build perfboard</c:v>
                </c:pt>
                <c:pt idx="76">
                  <c:v>Harness fabrication</c:v>
                </c:pt>
                <c:pt idx="77">
                  <c:v>Print queue C - Tier 1</c:v>
                </c:pt>
                <c:pt idx="78">
                  <c:v>Fabricate frame</c:v>
                </c:pt>
                <c:pt idx="79">
                  <c:v>Print queue D - Tier 2</c:v>
                </c:pt>
                <c:pt idx="80">
                  <c:v>Cube integration</c:v>
                </c:pt>
                <c:pt idx="81">
                  <c:v>Power-on / smoke test</c:v>
                </c:pt>
                <c:pt idx="82">
                  <c:v>Brake mechanism build</c:v>
                </c:pt>
                <c:pt idx="83">
                  <c:v>Rework buffer</c:v>
                </c:pt>
                <c:pt idx="84">
                  <c:v>GATE: Procurement</c:v>
                </c:pt>
                <c:pt idx="85">
                  <c:v>GATE: TDD draft body</c:v>
                </c:pt>
                <c:pt idx="86">
                  <c:v>GATE: Electrical chain</c:v>
                </c:pt>
                <c:pt idx="87">
                  <c:v>GATE: Stage S1 complete</c:v>
                </c:pt>
                <c:pt idx="88">
                  <c:v>GATE: TDD v1 submitted</c:v>
                </c:pt>
                <c:pt idx="89">
                  <c:v>GATE: Cube integrated</c:v>
                </c:pt>
                <c:pt idx="90">
                  <c:v>GATE: Stage S2a - edge</c:v>
                </c:pt>
                <c:pt idx="91">
                  <c:v>GATE: Stage S2b/c - corner &amp; slew</c:v>
                </c:pt>
                <c:pt idx="92">
                  <c:v>GATE: Stage S3 - jump</c:v>
                </c:pt>
                <c:pt idx="93">
                  <c:v>GATE: Final delivery</c:v>
                </c:pt>
              </c:strCache>
            </c:strRef>
          </c:cat>
          <c:val>
            <c:numRef>
              <c:f>WBS!$N$2:$N$95</c:f>
              <c:numCache>
                <c:formatCode>General</c:formatCode>
                <c:ptCount val="94"/>
                <c:pt idx="0">
                  <c:v>1</c:v>
                </c:pt>
                <c:pt idx="1">
                  <c:v>1</c:v>
                </c:pt>
                <c:pt idx="2">
                  <c:v>1</c:v>
                </c:pt>
                <c:pt idx="3">
                  <c:v>1</c:v>
                </c:pt>
                <c:pt idx="4">
                  <c:v>1</c:v>
                </c:pt>
                <c:pt idx="5">
                  <c:v>2</c:v>
                </c:pt>
                <c:pt idx="6">
                  <c:v>2</c:v>
                </c:pt>
                <c:pt idx="7">
                  <c:v>1</c:v>
                </c:pt>
                <c:pt idx="8">
                  <c:v>1</c:v>
                </c:pt>
                <c:pt idx="9">
                  <c:v>1</c:v>
                </c:pt>
                <c:pt idx="10">
                  <c:v>2</c:v>
                </c:pt>
                <c:pt idx="11">
                  <c:v>2</c:v>
                </c:pt>
                <c:pt idx="12">
                  <c:v>1</c:v>
                </c:pt>
                <c:pt idx="13">
                  <c:v>1</c:v>
                </c:pt>
                <c:pt idx="14">
                  <c:v>1</c:v>
                </c:pt>
                <c:pt idx="15">
                  <c:v>1</c:v>
                </c:pt>
                <c:pt idx="16">
                  <c:v>1</c:v>
                </c:pt>
                <c:pt idx="17">
                  <c:v>2</c:v>
                </c:pt>
                <c:pt idx="18">
                  <c:v>1</c:v>
                </c:pt>
                <c:pt idx="19">
                  <c:v>1</c:v>
                </c:pt>
                <c:pt idx="20">
                  <c:v>5</c:v>
                </c:pt>
                <c:pt idx="21">
                  <c:v>3</c:v>
                </c:pt>
                <c:pt idx="22">
                  <c:v>2</c:v>
                </c:pt>
                <c:pt idx="23">
                  <c:v>2</c:v>
                </c:pt>
                <c:pt idx="24">
                  <c:v>2</c:v>
                </c:pt>
                <c:pt idx="25">
                  <c:v>2</c:v>
                </c:pt>
                <c:pt idx="26">
                  <c:v>2</c:v>
                </c:pt>
                <c:pt idx="27">
                  <c:v>2</c:v>
                </c:pt>
                <c:pt idx="28">
                  <c:v>2</c:v>
                </c:pt>
                <c:pt idx="29">
                  <c:v>3</c:v>
                </c:pt>
                <c:pt idx="30">
                  <c:v>2</c:v>
                </c:pt>
                <c:pt idx="31">
                  <c:v>3</c:v>
                </c:pt>
                <c:pt idx="32">
                  <c:v>2</c:v>
                </c:pt>
                <c:pt idx="33">
                  <c:v>2</c:v>
                </c:pt>
                <c:pt idx="34">
                  <c:v>1</c:v>
                </c:pt>
                <c:pt idx="35">
                  <c:v>2</c:v>
                </c:pt>
                <c:pt idx="36">
                  <c:v>3</c:v>
                </c:pt>
                <c:pt idx="37">
                  <c:v>1</c:v>
                </c:pt>
                <c:pt idx="38">
                  <c:v>1</c:v>
                </c:pt>
                <c:pt idx="39">
                  <c:v>4</c:v>
                </c:pt>
                <c:pt idx="40">
                  <c:v>3</c:v>
                </c:pt>
                <c:pt idx="41">
                  <c:v>2</c:v>
                </c:pt>
                <c:pt idx="42">
                  <c:v>2</c:v>
                </c:pt>
                <c:pt idx="43">
                  <c:v>2</c:v>
                </c:pt>
                <c:pt idx="44">
                  <c:v>2</c:v>
                </c:pt>
                <c:pt idx="47">
                  <c:v>2</c:v>
                </c:pt>
                <c:pt idx="48">
                  <c:v>3</c:v>
                </c:pt>
                <c:pt idx="49">
                  <c:v>1</c:v>
                </c:pt>
                <c:pt idx="50">
                  <c:v>2</c:v>
                </c:pt>
                <c:pt idx="51">
                  <c:v>2</c:v>
                </c:pt>
                <c:pt idx="52">
                  <c:v>2</c:v>
                </c:pt>
                <c:pt idx="53">
                  <c:v>1</c:v>
                </c:pt>
                <c:pt idx="54">
                  <c:v>1</c:v>
                </c:pt>
                <c:pt idx="55">
                  <c:v>1</c:v>
                </c:pt>
                <c:pt idx="56">
                  <c:v>1</c:v>
                </c:pt>
                <c:pt idx="57">
                  <c:v>1</c:v>
                </c:pt>
                <c:pt idx="58">
                  <c:v>3</c:v>
                </c:pt>
                <c:pt idx="59">
                  <c:v>1</c:v>
                </c:pt>
                <c:pt idx="60">
                  <c:v>1</c:v>
                </c:pt>
                <c:pt idx="61">
                  <c:v>1</c:v>
                </c:pt>
                <c:pt idx="62">
                  <c:v>4</c:v>
                </c:pt>
                <c:pt idx="63">
                  <c:v>2</c:v>
                </c:pt>
                <c:pt idx="64">
                  <c:v>1</c:v>
                </c:pt>
                <c:pt idx="65">
                  <c:v>1</c:v>
                </c:pt>
                <c:pt idx="66">
                  <c:v>2</c:v>
                </c:pt>
                <c:pt idx="67">
                  <c:v>2</c:v>
                </c:pt>
                <c:pt idx="68">
                  <c:v>3</c:v>
                </c:pt>
                <c:pt idx="69">
                  <c:v>2</c:v>
                </c:pt>
                <c:pt idx="70">
                  <c:v>2</c:v>
                </c:pt>
                <c:pt idx="71">
                  <c:v>3</c:v>
                </c:pt>
                <c:pt idx="72">
                  <c:v>2</c:v>
                </c:pt>
                <c:pt idx="73">
                  <c:v>2</c:v>
                </c:pt>
                <c:pt idx="74">
                  <c:v>1</c:v>
                </c:pt>
                <c:pt idx="75">
                  <c:v>3</c:v>
                </c:pt>
                <c:pt idx="76">
                  <c:v>2</c:v>
                </c:pt>
                <c:pt idx="77">
                  <c:v>4</c:v>
                </c:pt>
                <c:pt idx="78">
                  <c:v>3</c:v>
                </c:pt>
                <c:pt idx="79">
                  <c:v>2</c:v>
                </c:pt>
                <c:pt idx="80">
                  <c:v>2</c:v>
                </c:pt>
                <c:pt idx="81">
                  <c:v>1</c:v>
                </c:pt>
                <c:pt idx="82">
                  <c:v>4</c:v>
                </c:pt>
                <c:pt idx="83">
                  <c:v>17</c:v>
                </c:pt>
                <c:pt idx="84">
                  <c:v>1</c:v>
                </c:pt>
                <c:pt idx="85">
                  <c:v>1</c:v>
                </c:pt>
                <c:pt idx="86">
                  <c:v>1</c:v>
                </c:pt>
                <c:pt idx="87">
                  <c:v>1</c:v>
                </c:pt>
                <c:pt idx="88">
                  <c:v>1</c:v>
                </c:pt>
                <c:pt idx="89">
                  <c:v>1</c:v>
                </c:pt>
                <c:pt idx="90">
                  <c:v>1</c:v>
                </c:pt>
                <c:pt idx="91">
                  <c:v>1</c:v>
                </c:pt>
                <c:pt idx="92">
                  <c:v>1</c:v>
                </c:pt>
                <c:pt idx="93">
                  <c:v>1</c:v>
                </c:pt>
              </c:numCache>
            </c:numRef>
          </c:val>
        </c:ser>
        <c:gapWidth val="30"/>
        <c:overlap val="100"/>
        <c:axId val="84817550"/>
        <c:axId val="92708751"/>
      </c:barChart>
      <c:catAx>
        <c:axId val="8481755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708751"/>
        <c:crosses val="autoZero"/>
        <c:auto val="1"/>
        <c:lblAlgn val="ctr"/>
        <c:lblOffset val="100"/>
        <c:noMultiLvlLbl val="0"/>
      </c:catAx>
      <c:valAx>
        <c:axId val="92708751"/>
        <c:scaling>
          <c:orientation val="minMax"/>
          <c:max val="46254"/>
          <c:min val="46226"/>
        </c:scaling>
        <c:delete val="0"/>
        <c:axPos val="l"/>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81755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176040</xdr:rowOff>
    </xdr:from>
    <xdr:to>
      <xdr:col>17</xdr:col>
      <xdr:colOff>403920</xdr:colOff>
      <xdr:row>89</xdr:row>
      <xdr:rowOff>162360</xdr:rowOff>
    </xdr:to>
    <xdr:graphicFrame>
      <xdr:nvGraphicFramePr>
        <xdr:cNvPr id="0" name="Chart 1"/>
        <xdr:cNvGraphicFramePr/>
      </xdr:nvGraphicFramePr>
      <xdr:xfrm>
        <a:off x="0" y="571680"/>
        <a:ext cx="10799640" cy="165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76"/>
    <col collapsed="false" customWidth="true" hidden="false" outlineLevel="0" max="4" min="4" style="0" width="22"/>
    <col collapsed="false" customWidth="true" hidden="false" outlineLevel="0" max="5" min="5" style="0" width="12"/>
    <col collapsed="false" customWidth="true" hidden="false" outlineLevel="0" max="6" min="6" style="0" width="20"/>
    <col collapsed="false" customWidth="true" hidden="false" outlineLevel="0" max="7" min="7" style="0" width="12"/>
    <col collapsed="false" customWidth="true" hidden="false" outlineLevel="0" max="8" min="8" style="0" width="9"/>
    <col collapsed="false" customWidth="true" hidden="false" outlineLevel="0" max="9" min="9" style="0" width="8"/>
    <col collapsed="false" customWidth="true" hidden="false" outlineLevel="0" max="10" min="10" style="0" width="24"/>
    <col collapsed="false" customWidth="true" hidden="false" outlineLevel="0" max="15" min="11" style="0" width="11"/>
    <col collapsed="false" customWidth="true" hidden="false" outlineLevel="0" max="16" min="16" style="0" width="44"/>
    <col collapsed="false" customWidth="true" hidden="false" outlineLevel="0" max="18" min="18" style="0" width="2"/>
    <col collapsed="false" customWidth="true" hidden="false" outlineLevel="0" max="19" min="19" style="0" width="34"/>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S1" s="2" t="s">
        <v>16</v>
      </c>
    </row>
    <row r="2" customFormat="false" ht="46.25" hidden="false" customHeight="false" outlineLevel="0" collapsed="false">
      <c r="A2" s="3" t="s">
        <v>17</v>
      </c>
      <c r="B2" s="4" t="s">
        <v>18</v>
      </c>
      <c r="C2" s="5" t="s">
        <v>19</v>
      </c>
      <c r="D2" s="3" t="s">
        <v>20</v>
      </c>
      <c r="E2" s="6" t="s">
        <v>21</v>
      </c>
      <c r="F2" s="5" t="s">
        <v>22</v>
      </c>
      <c r="G2" s="6" t="s">
        <v>23</v>
      </c>
      <c r="H2" s="7" t="s">
        <v>24</v>
      </c>
      <c r="I2" s="6" t="s">
        <v>25</v>
      </c>
      <c r="J2" s="5"/>
      <c r="K2" s="8" t="n">
        <v>0.5</v>
      </c>
      <c r="L2" s="9" t="n">
        <v>46226</v>
      </c>
      <c r="M2" s="9" t="n">
        <v>46226</v>
      </c>
      <c r="N2" s="6" t="n">
        <f aca="false">IF(L2="","",M2-L2+1)</f>
        <v>1</v>
      </c>
      <c r="O2" s="6" t="n">
        <f aca="false">IF(L2="","",L2-$S$2+1)</f>
        <v>1</v>
      </c>
      <c r="P2" s="5" t="s">
        <v>26</v>
      </c>
      <c r="S2" s="10" t="n">
        <v>46226</v>
      </c>
    </row>
    <row r="3" customFormat="false" ht="46.25" hidden="false" customHeight="false" outlineLevel="0" collapsed="false">
      <c r="A3" s="3" t="s">
        <v>27</v>
      </c>
      <c r="B3" s="4" t="s">
        <v>28</v>
      </c>
      <c r="C3" s="5" t="s">
        <v>29</v>
      </c>
      <c r="D3" s="3" t="s">
        <v>20</v>
      </c>
      <c r="E3" s="6" t="s">
        <v>21</v>
      </c>
      <c r="F3" s="5"/>
      <c r="G3" s="6" t="s">
        <v>23</v>
      </c>
      <c r="H3" s="7" t="s">
        <v>24</v>
      </c>
      <c r="I3" s="6" t="s">
        <v>25</v>
      </c>
      <c r="J3" s="5"/>
      <c r="K3" s="8" t="n">
        <v>0.5</v>
      </c>
      <c r="L3" s="9" t="n">
        <v>46226</v>
      </c>
      <c r="M3" s="9" t="n">
        <v>46226</v>
      </c>
      <c r="N3" s="6" t="n">
        <f aca="false">IF(L3="","",M3-L3+1)</f>
        <v>1</v>
      </c>
      <c r="O3" s="6" t="n">
        <f aca="false">IF(L3="","",L3-$S$2+1)</f>
        <v>1</v>
      </c>
      <c r="P3" s="5"/>
      <c r="S3" s="2" t="s">
        <v>30</v>
      </c>
    </row>
    <row r="4" customFormat="false" ht="35.05" hidden="false" customHeight="false" outlineLevel="0" collapsed="false">
      <c r="A4" s="3" t="s">
        <v>31</v>
      </c>
      <c r="B4" s="4" t="s">
        <v>32</v>
      </c>
      <c r="C4" s="5" t="s">
        <v>33</v>
      </c>
      <c r="D4" s="3" t="s">
        <v>20</v>
      </c>
      <c r="E4" s="6" t="s">
        <v>21</v>
      </c>
      <c r="F4" s="5" t="s">
        <v>22</v>
      </c>
      <c r="G4" s="6" t="s">
        <v>34</v>
      </c>
      <c r="H4" s="7" t="s">
        <v>24</v>
      </c>
      <c r="I4" s="6" t="s">
        <v>25</v>
      </c>
      <c r="J4" s="5" t="s">
        <v>27</v>
      </c>
      <c r="K4" s="8" t="n">
        <v>1</v>
      </c>
      <c r="L4" s="9" t="n">
        <v>46227</v>
      </c>
      <c r="M4" s="9" t="n">
        <v>46227</v>
      </c>
      <c r="N4" s="6" t="n">
        <f aca="false">IF(L4="","",M4-L4+1)</f>
        <v>1</v>
      </c>
      <c r="O4" s="6" t="n">
        <f aca="false">IF(L4="","",L4-$S$2+1)</f>
        <v>2</v>
      </c>
      <c r="P4" s="5"/>
      <c r="S4" s="10" t="n">
        <v>46253</v>
      </c>
    </row>
    <row r="5" customFormat="false" ht="35.05" hidden="false" customHeight="false" outlineLevel="0" collapsed="false">
      <c r="A5" s="3" t="s">
        <v>35</v>
      </c>
      <c r="B5" s="4" t="s">
        <v>36</v>
      </c>
      <c r="C5" s="5" t="s">
        <v>37</v>
      </c>
      <c r="D5" s="3" t="s">
        <v>20</v>
      </c>
      <c r="E5" s="6" t="s">
        <v>21</v>
      </c>
      <c r="F5" s="5"/>
      <c r="G5" s="6" t="s">
        <v>23</v>
      </c>
      <c r="H5" s="7" t="s">
        <v>24</v>
      </c>
      <c r="I5" s="6" t="s">
        <v>25</v>
      </c>
      <c r="J5" s="5" t="s">
        <v>31</v>
      </c>
      <c r="K5" s="8" t="n">
        <v>0.5</v>
      </c>
      <c r="L5" s="9" t="n">
        <v>46228</v>
      </c>
      <c r="M5" s="9" t="n">
        <v>46228</v>
      </c>
      <c r="N5" s="6" t="n">
        <f aca="false">IF(L5="","",M5-L5+1)</f>
        <v>1</v>
      </c>
      <c r="O5" s="6" t="n">
        <f aca="false">IF(L5="","",L5-$S$2+1)</f>
        <v>3</v>
      </c>
      <c r="P5" s="5"/>
      <c r="S5" s="2" t="s">
        <v>38</v>
      </c>
    </row>
    <row r="6" customFormat="false" ht="23.85" hidden="false" customHeight="false" outlineLevel="0" collapsed="false">
      <c r="A6" s="3" t="s">
        <v>39</v>
      </c>
      <c r="B6" s="4" t="s">
        <v>40</v>
      </c>
      <c r="C6" s="5" t="s">
        <v>41</v>
      </c>
      <c r="D6" s="3" t="s">
        <v>20</v>
      </c>
      <c r="E6" s="6" t="s">
        <v>21</v>
      </c>
      <c r="F6" s="5"/>
      <c r="G6" s="6" t="s">
        <v>23</v>
      </c>
      <c r="H6" s="7" t="s">
        <v>24</v>
      </c>
      <c r="I6" s="6" t="s">
        <v>25</v>
      </c>
      <c r="J6" s="5"/>
      <c r="K6" s="8" t="n">
        <v>0.25</v>
      </c>
      <c r="L6" s="9" t="n">
        <v>46226</v>
      </c>
      <c r="M6" s="9" t="n">
        <v>46226</v>
      </c>
      <c r="N6" s="6" t="n">
        <f aca="false">IF(L6="","",M6-L6+1)</f>
        <v>1</v>
      </c>
      <c r="O6" s="6" t="n">
        <f aca="false">IF(L6="","",L6-$S$2+1)</f>
        <v>1</v>
      </c>
      <c r="P6" s="5"/>
      <c r="S6" s="11" t="n">
        <f aca="false">SUM(K2:K95)</f>
        <v>95</v>
      </c>
    </row>
    <row r="7" customFormat="false" ht="35.05" hidden="false" customHeight="false" outlineLevel="0" collapsed="false">
      <c r="A7" s="3" t="s">
        <v>42</v>
      </c>
      <c r="B7" s="4" t="s">
        <v>43</v>
      </c>
      <c r="C7" s="5" t="s">
        <v>44</v>
      </c>
      <c r="D7" s="3" t="s">
        <v>20</v>
      </c>
      <c r="E7" s="6" t="s">
        <v>21</v>
      </c>
      <c r="F7" s="5" t="s">
        <v>45</v>
      </c>
      <c r="G7" s="6" t="s">
        <v>34</v>
      </c>
      <c r="H7" s="7" t="s">
        <v>24</v>
      </c>
      <c r="I7" s="6" t="s">
        <v>46</v>
      </c>
      <c r="J7" s="5"/>
      <c r="K7" s="8" t="n">
        <v>1</v>
      </c>
      <c r="L7" s="9" t="n">
        <v>46227</v>
      </c>
      <c r="M7" s="9" t="n">
        <v>46228</v>
      </c>
      <c r="N7" s="6" t="n">
        <f aca="false">IF(L7="","",M7-L7+1)</f>
        <v>2</v>
      </c>
      <c r="O7" s="6" t="n">
        <f aca="false">IF(L7="","",L7-$S$2+1)</f>
        <v>2</v>
      </c>
      <c r="P7" s="5"/>
      <c r="S7" s="2" t="s">
        <v>47</v>
      </c>
    </row>
    <row r="8" customFormat="false" ht="35.05" hidden="false" customHeight="false" outlineLevel="0" collapsed="false">
      <c r="A8" s="3" t="s">
        <v>48</v>
      </c>
      <c r="B8" s="4" t="s">
        <v>49</v>
      </c>
      <c r="C8" s="5" t="s">
        <v>50</v>
      </c>
      <c r="D8" s="3" t="s">
        <v>20</v>
      </c>
      <c r="E8" s="6" t="s">
        <v>21</v>
      </c>
      <c r="F8" s="5" t="s">
        <v>45</v>
      </c>
      <c r="G8" s="6" t="s">
        <v>34</v>
      </c>
      <c r="H8" s="7" t="s">
        <v>24</v>
      </c>
      <c r="I8" s="6" t="s">
        <v>51</v>
      </c>
      <c r="J8" s="5" t="s">
        <v>42</v>
      </c>
      <c r="K8" s="8" t="n">
        <v>2</v>
      </c>
      <c r="L8" s="9" t="n">
        <v>46230</v>
      </c>
      <c r="M8" s="9" t="n">
        <v>46231</v>
      </c>
      <c r="N8" s="6" t="n">
        <f aca="false">IF(L8="","",M8-L8+1)</f>
        <v>2</v>
      </c>
      <c r="O8" s="6" t="n">
        <f aca="false">IF(L8="","",L8-$S$2+1)</f>
        <v>5</v>
      </c>
      <c r="P8" s="5"/>
      <c r="S8" s="11" t="n">
        <f aca="false">SUMIF(H2:H95,"P0",K2:K95)</f>
        <v>69</v>
      </c>
    </row>
    <row r="9" customFormat="false" ht="35.05" hidden="false" customHeight="false" outlineLevel="0" collapsed="false">
      <c r="A9" s="3" t="s">
        <v>52</v>
      </c>
      <c r="B9" s="4" t="s">
        <v>53</v>
      </c>
      <c r="C9" s="5" t="s">
        <v>54</v>
      </c>
      <c r="D9" s="3" t="s">
        <v>20</v>
      </c>
      <c r="E9" s="6" t="s">
        <v>21</v>
      </c>
      <c r="F9" s="5" t="s">
        <v>45</v>
      </c>
      <c r="G9" s="6" t="s">
        <v>34</v>
      </c>
      <c r="H9" s="7" t="s">
        <v>24</v>
      </c>
      <c r="I9" s="6" t="s">
        <v>51</v>
      </c>
      <c r="J9" s="5" t="s">
        <v>48</v>
      </c>
      <c r="K9" s="8" t="n">
        <v>1</v>
      </c>
      <c r="L9" s="9" t="n">
        <v>46232</v>
      </c>
      <c r="M9" s="9" t="n">
        <v>46232</v>
      </c>
      <c r="N9" s="6" t="n">
        <f aca="false">IF(L9="","",M9-L9+1)</f>
        <v>1</v>
      </c>
      <c r="O9" s="6" t="n">
        <f aca="false">IF(L9="","",L9-$S$2+1)</f>
        <v>7</v>
      </c>
      <c r="P9" s="5"/>
      <c r="S9" s="2" t="s">
        <v>55</v>
      </c>
    </row>
    <row r="10" customFormat="false" ht="35.05" hidden="false" customHeight="false" outlineLevel="0" collapsed="false">
      <c r="A10" s="3" t="s">
        <v>56</v>
      </c>
      <c r="B10" s="4" t="s">
        <v>57</v>
      </c>
      <c r="C10" s="5" t="s">
        <v>58</v>
      </c>
      <c r="D10" s="3" t="s">
        <v>20</v>
      </c>
      <c r="E10" s="6" t="s">
        <v>21</v>
      </c>
      <c r="F10" s="5" t="s">
        <v>59</v>
      </c>
      <c r="G10" s="6" t="s">
        <v>34</v>
      </c>
      <c r="H10" s="7" t="s">
        <v>24</v>
      </c>
      <c r="I10" s="6" t="s">
        <v>25</v>
      </c>
      <c r="J10" s="5" t="s">
        <v>17</v>
      </c>
      <c r="K10" s="8" t="n">
        <v>0.75</v>
      </c>
      <c r="L10" s="9" t="n">
        <v>46228</v>
      </c>
      <c r="M10" s="9" t="n">
        <v>46228</v>
      </c>
      <c r="N10" s="6" t="n">
        <f aca="false">IF(L10="","",M10-L10+1)</f>
        <v>1</v>
      </c>
      <c r="O10" s="6" t="n">
        <f aca="false">IF(L10="","",L10-$S$2+1)</f>
        <v>3</v>
      </c>
      <c r="P10" s="5"/>
      <c r="S10" s="11" t="n">
        <f aca="false">COUNTIF(D2:D95,"&lt;&gt;Milestone")</f>
        <v>84</v>
      </c>
    </row>
    <row r="11" customFormat="false" ht="46.25" hidden="false" customHeight="false" outlineLevel="0" collapsed="false">
      <c r="A11" s="3" t="s">
        <v>60</v>
      </c>
      <c r="B11" s="4" t="s">
        <v>61</v>
      </c>
      <c r="C11" s="5" t="s">
        <v>62</v>
      </c>
      <c r="D11" s="3" t="s">
        <v>20</v>
      </c>
      <c r="E11" s="6" t="s">
        <v>21</v>
      </c>
      <c r="F11" s="5" t="s">
        <v>45</v>
      </c>
      <c r="G11" s="6" t="s">
        <v>34</v>
      </c>
      <c r="H11" s="7" t="s">
        <v>24</v>
      </c>
      <c r="I11" s="6" t="s">
        <v>63</v>
      </c>
      <c r="J11" s="5" t="s">
        <v>64</v>
      </c>
      <c r="K11" s="8" t="n">
        <v>1</v>
      </c>
      <c r="L11" s="9" t="n">
        <v>46233</v>
      </c>
      <c r="M11" s="9" t="n">
        <v>46233</v>
      </c>
      <c r="N11" s="6" t="n">
        <f aca="false">IF(L11="","",M11-L11+1)</f>
        <v>1</v>
      </c>
      <c r="O11" s="6" t="n">
        <f aca="false">IF(L11="","",L11-$S$2+1)</f>
        <v>8</v>
      </c>
      <c r="P11" s="5" t="s">
        <v>65</v>
      </c>
    </row>
    <row r="12" customFormat="false" ht="79.85" hidden="false" customHeight="false" outlineLevel="0" collapsed="false">
      <c r="A12" s="3" t="s">
        <v>66</v>
      </c>
      <c r="B12" s="4" t="s">
        <v>67</v>
      </c>
      <c r="C12" s="5" t="s">
        <v>68</v>
      </c>
      <c r="D12" s="3" t="s">
        <v>20</v>
      </c>
      <c r="E12" s="6" t="s">
        <v>69</v>
      </c>
      <c r="F12" s="5" t="s">
        <v>70</v>
      </c>
      <c r="G12" s="6" t="s">
        <v>23</v>
      </c>
      <c r="H12" s="7" t="s">
        <v>24</v>
      </c>
      <c r="I12" s="6" t="s">
        <v>25</v>
      </c>
      <c r="J12" s="5" t="s">
        <v>71</v>
      </c>
      <c r="K12" s="8" t="n">
        <v>1.5</v>
      </c>
      <c r="L12" s="9" t="n">
        <v>46228</v>
      </c>
      <c r="M12" s="9" t="n">
        <v>46229</v>
      </c>
      <c r="N12" s="6" t="n">
        <f aca="false">IF(L12="","",M12-L12+1)</f>
        <v>2</v>
      </c>
      <c r="O12" s="6" t="n">
        <f aca="false">IF(L12="","",L12-$S$2+1)</f>
        <v>3</v>
      </c>
      <c r="P12" s="5" t="s">
        <v>72</v>
      </c>
      <c r="S12" s="12" t="s">
        <v>73</v>
      </c>
    </row>
    <row r="13" customFormat="false" ht="46.25" hidden="false" customHeight="false" outlineLevel="0" collapsed="false">
      <c r="A13" s="3" t="s">
        <v>74</v>
      </c>
      <c r="B13" s="4" t="s">
        <v>75</v>
      </c>
      <c r="C13" s="5" t="s">
        <v>76</v>
      </c>
      <c r="D13" s="3" t="s">
        <v>20</v>
      </c>
      <c r="E13" s="6" t="s">
        <v>69</v>
      </c>
      <c r="F13" s="5" t="s">
        <v>77</v>
      </c>
      <c r="G13" s="6" t="s">
        <v>23</v>
      </c>
      <c r="H13" s="7" t="s">
        <v>24</v>
      </c>
      <c r="I13" s="6" t="s">
        <v>25</v>
      </c>
      <c r="J13" s="5" t="s">
        <v>78</v>
      </c>
      <c r="K13" s="8" t="n">
        <v>1</v>
      </c>
      <c r="L13" s="9" t="n">
        <v>46235</v>
      </c>
      <c r="M13" s="9" t="n">
        <v>46236</v>
      </c>
      <c r="N13" s="6" t="n">
        <f aca="false">IF(L13="","",M13-L13+1)</f>
        <v>2</v>
      </c>
      <c r="O13" s="6" t="n">
        <f aca="false">IF(L13="","",L13-$S$2+1)</f>
        <v>10</v>
      </c>
      <c r="P13" s="5" t="s">
        <v>79</v>
      </c>
    </row>
    <row r="14" customFormat="false" ht="23.85" hidden="false" customHeight="false" outlineLevel="0" collapsed="false">
      <c r="A14" s="3" t="s">
        <v>80</v>
      </c>
      <c r="B14" s="4" t="s">
        <v>81</v>
      </c>
      <c r="C14" s="5" t="s">
        <v>82</v>
      </c>
      <c r="D14" s="3" t="s">
        <v>20</v>
      </c>
      <c r="E14" s="6" t="s">
        <v>69</v>
      </c>
      <c r="F14" s="5" t="s">
        <v>77</v>
      </c>
      <c r="G14" s="6" t="s">
        <v>23</v>
      </c>
      <c r="H14" s="7" t="s">
        <v>24</v>
      </c>
      <c r="I14" s="6" t="s">
        <v>25</v>
      </c>
      <c r="J14" s="5" t="s">
        <v>74</v>
      </c>
      <c r="K14" s="8" t="n">
        <v>1</v>
      </c>
      <c r="L14" s="9" t="n">
        <v>46237</v>
      </c>
      <c r="M14" s="9" t="n">
        <v>46237</v>
      </c>
      <c r="N14" s="6" t="n">
        <f aca="false">IF(L14="","",M14-L14+1)</f>
        <v>1</v>
      </c>
      <c r="O14" s="6" t="n">
        <f aca="false">IF(L14="","",L14-$S$2+1)</f>
        <v>12</v>
      </c>
      <c r="P14" s="5" t="s">
        <v>83</v>
      </c>
    </row>
    <row r="15" customFormat="false" ht="35.05" hidden="false" customHeight="false" outlineLevel="0" collapsed="false">
      <c r="A15" s="3" t="s">
        <v>84</v>
      </c>
      <c r="B15" s="4" t="s">
        <v>85</v>
      </c>
      <c r="C15" s="5" t="s">
        <v>86</v>
      </c>
      <c r="D15" s="3" t="s">
        <v>20</v>
      </c>
      <c r="E15" s="6" t="s">
        <v>69</v>
      </c>
      <c r="F15" s="5" t="s">
        <v>87</v>
      </c>
      <c r="G15" s="6" t="s">
        <v>23</v>
      </c>
      <c r="H15" s="13" t="s">
        <v>88</v>
      </c>
      <c r="I15" s="6" t="s">
        <v>25</v>
      </c>
      <c r="J15" s="5"/>
      <c r="K15" s="8" t="n">
        <v>0.5</v>
      </c>
      <c r="L15" s="9" t="n">
        <v>46228</v>
      </c>
      <c r="M15" s="9" t="n">
        <v>46228</v>
      </c>
      <c r="N15" s="6" t="n">
        <f aca="false">IF(L15="","",M15-L15+1)</f>
        <v>1</v>
      </c>
      <c r="O15" s="6" t="n">
        <f aca="false">IF(L15="","",L15-$S$2+1)</f>
        <v>3</v>
      </c>
      <c r="P15" s="5"/>
    </row>
    <row r="16" customFormat="false" ht="23.85" hidden="false" customHeight="false" outlineLevel="0" collapsed="false">
      <c r="A16" s="3" t="s">
        <v>89</v>
      </c>
      <c r="B16" s="4" t="s">
        <v>90</v>
      </c>
      <c r="C16" s="5" t="s">
        <v>91</v>
      </c>
      <c r="D16" s="3" t="s">
        <v>20</v>
      </c>
      <c r="E16" s="6" t="s">
        <v>69</v>
      </c>
      <c r="F16" s="5" t="s">
        <v>92</v>
      </c>
      <c r="G16" s="6" t="s">
        <v>23</v>
      </c>
      <c r="H16" s="13" t="s">
        <v>88</v>
      </c>
      <c r="I16" s="6" t="s">
        <v>25</v>
      </c>
      <c r="J16" s="5" t="s">
        <v>35</v>
      </c>
      <c r="K16" s="8" t="n">
        <v>0.5</v>
      </c>
      <c r="L16" s="9" t="n">
        <v>46232</v>
      </c>
      <c r="M16" s="9" t="n">
        <v>46232</v>
      </c>
      <c r="N16" s="6" t="n">
        <f aca="false">IF(L16="","",M16-L16+1)</f>
        <v>1</v>
      </c>
      <c r="O16" s="6" t="n">
        <f aca="false">IF(L16="","",L16-$S$2+1)</f>
        <v>7</v>
      </c>
      <c r="P16" s="5"/>
    </row>
    <row r="17" customFormat="false" ht="35.05" hidden="false" customHeight="false" outlineLevel="0" collapsed="false">
      <c r="A17" s="3" t="s">
        <v>93</v>
      </c>
      <c r="B17" s="4" t="s">
        <v>94</v>
      </c>
      <c r="C17" s="5" t="s">
        <v>95</v>
      </c>
      <c r="D17" s="3" t="s">
        <v>20</v>
      </c>
      <c r="E17" s="6" t="s">
        <v>21</v>
      </c>
      <c r="F17" s="5" t="s">
        <v>45</v>
      </c>
      <c r="G17" s="6" t="s">
        <v>34</v>
      </c>
      <c r="H17" s="13" t="s">
        <v>88</v>
      </c>
      <c r="I17" s="6" t="s">
        <v>25</v>
      </c>
      <c r="J17" s="5" t="s">
        <v>35</v>
      </c>
      <c r="K17" s="8" t="n">
        <v>0.5</v>
      </c>
      <c r="L17" s="9" t="n">
        <v>46233</v>
      </c>
      <c r="M17" s="9" t="n">
        <v>46233</v>
      </c>
      <c r="N17" s="6" t="n">
        <f aca="false">IF(L17="","",M17-L17+1)</f>
        <v>1</v>
      </c>
      <c r="O17" s="6" t="n">
        <f aca="false">IF(L17="","",L17-$S$2+1)</f>
        <v>8</v>
      </c>
      <c r="P17" s="5"/>
    </row>
    <row r="18" customFormat="false" ht="35.05" hidden="false" customHeight="false" outlineLevel="0" collapsed="false">
      <c r="A18" s="3" t="s">
        <v>96</v>
      </c>
      <c r="B18" s="4" t="s">
        <v>97</v>
      </c>
      <c r="C18" s="5" t="s">
        <v>98</v>
      </c>
      <c r="D18" s="3" t="s">
        <v>20</v>
      </c>
      <c r="E18" s="6" t="s">
        <v>21</v>
      </c>
      <c r="F18" s="5" t="s">
        <v>99</v>
      </c>
      <c r="G18" s="6" t="s">
        <v>34</v>
      </c>
      <c r="H18" s="13" t="s">
        <v>88</v>
      </c>
      <c r="I18" s="6" t="s">
        <v>46</v>
      </c>
      <c r="J18" s="5" t="s">
        <v>42</v>
      </c>
      <c r="K18" s="8" t="n">
        <v>0.5</v>
      </c>
      <c r="L18" s="9" t="n">
        <v>46231</v>
      </c>
      <c r="M18" s="9" t="n">
        <v>46231</v>
      </c>
      <c r="N18" s="6" t="n">
        <f aca="false">IF(L18="","",M18-L18+1)</f>
        <v>1</v>
      </c>
      <c r="O18" s="6" t="n">
        <f aca="false">IF(L18="","",L18-$S$2+1)</f>
        <v>6</v>
      </c>
      <c r="P18" s="5"/>
    </row>
    <row r="19" customFormat="false" ht="35.05" hidden="false" customHeight="false" outlineLevel="0" collapsed="false">
      <c r="A19" s="3" t="s">
        <v>100</v>
      </c>
      <c r="B19" s="4" t="s">
        <v>101</v>
      </c>
      <c r="C19" s="5" t="s">
        <v>102</v>
      </c>
      <c r="D19" s="3" t="s">
        <v>20</v>
      </c>
      <c r="E19" s="6" t="s">
        <v>21</v>
      </c>
      <c r="F19" s="5" t="s">
        <v>45</v>
      </c>
      <c r="G19" s="6" t="s">
        <v>34</v>
      </c>
      <c r="H19" s="7" t="s">
        <v>24</v>
      </c>
      <c r="I19" s="6" t="s">
        <v>51</v>
      </c>
      <c r="J19" s="5" t="s">
        <v>103</v>
      </c>
      <c r="K19" s="8" t="n">
        <v>0.5</v>
      </c>
      <c r="L19" s="9" t="n">
        <v>46237</v>
      </c>
      <c r="M19" s="9" t="n">
        <v>46238</v>
      </c>
      <c r="N19" s="6" t="n">
        <f aca="false">IF(L19="","",M19-L19+1)</f>
        <v>2</v>
      </c>
      <c r="O19" s="6" t="n">
        <f aca="false">IF(L19="","",L19-$S$2+1)</f>
        <v>12</v>
      </c>
      <c r="P19" s="5"/>
    </row>
    <row r="20" customFormat="false" ht="23.85" hidden="false" customHeight="false" outlineLevel="0" collapsed="false">
      <c r="A20" s="3" t="s">
        <v>104</v>
      </c>
      <c r="B20" s="4" t="s">
        <v>105</v>
      </c>
      <c r="C20" s="5" t="s">
        <v>106</v>
      </c>
      <c r="D20" s="3" t="s">
        <v>20</v>
      </c>
      <c r="E20" s="6" t="s">
        <v>69</v>
      </c>
      <c r="F20" s="5" t="s">
        <v>77</v>
      </c>
      <c r="G20" s="6" t="s">
        <v>23</v>
      </c>
      <c r="H20" s="13" t="s">
        <v>88</v>
      </c>
      <c r="I20" s="6"/>
      <c r="J20" s="5" t="s">
        <v>80</v>
      </c>
      <c r="K20" s="8" t="n">
        <v>0.25</v>
      </c>
      <c r="L20" s="9" t="n">
        <v>46243</v>
      </c>
      <c r="M20" s="9" t="n">
        <v>46243</v>
      </c>
      <c r="N20" s="6" t="n">
        <f aca="false">IF(L20="","",M20-L20+1)</f>
        <v>1</v>
      </c>
      <c r="O20" s="6" t="n">
        <f aca="false">IF(L20="","",L20-$S$2+1)</f>
        <v>18</v>
      </c>
      <c r="P20" s="5"/>
    </row>
    <row r="21" customFormat="false" ht="15" hidden="false" customHeight="false" outlineLevel="0" collapsed="false">
      <c r="A21" s="3" t="s">
        <v>107</v>
      </c>
      <c r="B21" s="4" t="s">
        <v>108</v>
      </c>
      <c r="C21" s="5" t="s">
        <v>109</v>
      </c>
      <c r="D21" s="3" t="s">
        <v>20</v>
      </c>
      <c r="E21" s="6" t="s">
        <v>69</v>
      </c>
      <c r="F21" s="5" t="s">
        <v>77</v>
      </c>
      <c r="G21" s="6" t="s">
        <v>23</v>
      </c>
      <c r="H21" s="13" t="s">
        <v>88</v>
      </c>
      <c r="I21" s="6"/>
      <c r="J21" s="5" t="s">
        <v>104</v>
      </c>
      <c r="K21" s="8" t="n">
        <v>0.25</v>
      </c>
      <c r="L21" s="9" t="n">
        <v>46250</v>
      </c>
      <c r="M21" s="9" t="n">
        <v>46250</v>
      </c>
      <c r="N21" s="6" t="n">
        <f aca="false">IF(L21="","",M21-L21+1)</f>
        <v>1</v>
      </c>
      <c r="O21" s="6" t="n">
        <f aca="false">IF(L21="","",L21-$S$2+1)</f>
        <v>25</v>
      </c>
      <c r="P21" s="5"/>
    </row>
    <row r="22" customFormat="false" ht="35.05" hidden="false" customHeight="false" outlineLevel="0" collapsed="false">
      <c r="A22" s="3" t="s">
        <v>110</v>
      </c>
      <c r="B22" s="4" t="s">
        <v>111</v>
      </c>
      <c r="C22" s="5" t="s">
        <v>112</v>
      </c>
      <c r="D22" s="3" t="s">
        <v>20</v>
      </c>
      <c r="E22" s="6" t="s">
        <v>69</v>
      </c>
      <c r="F22" s="5" t="s">
        <v>77</v>
      </c>
      <c r="G22" s="6" t="s">
        <v>23</v>
      </c>
      <c r="H22" s="7" t="s">
        <v>24</v>
      </c>
      <c r="I22" s="6"/>
      <c r="J22" s="5" t="s">
        <v>113</v>
      </c>
      <c r="K22" s="8" t="n">
        <v>2.5</v>
      </c>
      <c r="L22" s="9" t="n">
        <v>46249</v>
      </c>
      <c r="M22" s="9" t="n">
        <v>46253</v>
      </c>
      <c r="N22" s="6" t="n">
        <f aca="false">IF(L22="","",M22-L22+1)</f>
        <v>5</v>
      </c>
      <c r="O22" s="6" t="n">
        <f aca="false">IF(L22="","",L22-$S$2+1)</f>
        <v>24</v>
      </c>
      <c r="P22" s="5" t="s">
        <v>114</v>
      </c>
    </row>
    <row r="23" customFormat="false" ht="35.05" hidden="false" customHeight="false" outlineLevel="0" collapsed="false">
      <c r="A23" s="3" t="s">
        <v>115</v>
      </c>
      <c r="B23" s="4" t="s">
        <v>116</v>
      </c>
      <c r="C23" s="5" t="s">
        <v>117</v>
      </c>
      <c r="D23" s="3" t="s">
        <v>20</v>
      </c>
      <c r="E23" s="6" t="s">
        <v>69</v>
      </c>
      <c r="F23" s="5" t="s">
        <v>118</v>
      </c>
      <c r="G23" s="6" t="s">
        <v>23</v>
      </c>
      <c r="H23" s="7" t="s">
        <v>24</v>
      </c>
      <c r="I23" s="6"/>
      <c r="J23" s="5" t="s">
        <v>119</v>
      </c>
      <c r="K23" s="8" t="n">
        <v>1</v>
      </c>
      <c r="L23" s="9" t="n">
        <v>46251</v>
      </c>
      <c r="M23" s="9" t="n">
        <v>46253</v>
      </c>
      <c r="N23" s="6" t="n">
        <f aca="false">IF(L23="","",M23-L23+1)</f>
        <v>3</v>
      </c>
      <c r="O23" s="6" t="n">
        <f aca="false">IF(L23="","",L23-$S$2+1)</f>
        <v>26</v>
      </c>
      <c r="P23" s="5"/>
    </row>
    <row r="24" customFormat="false" ht="23.85" hidden="false" customHeight="false" outlineLevel="0" collapsed="false">
      <c r="A24" s="14" t="s">
        <v>120</v>
      </c>
      <c r="B24" s="15" t="s">
        <v>121</v>
      </c>
      <c r="C24" s="5" t="s">
        <v>122</v>
      </c>
      <c r="D24" s="14" t="s">
        <v>123</v>
      </c>
      <c r="E24" s="6" t="s">
        <v>45</v>
      </c>
      <c r="F24" s="5"/>
      <c r="G24" s="6" t="s">
        <v>124</v>
      </c>
      <c r="H24" s="7" t="s">
        <v>24</v>
      </c>
      <c r="I24" s="6" t="s">
        <v>46</v>
      </c>
      <c r="J24" s="5" t="s">
        <v>42</v>
      </c>
      <c r="K24" s="8" t="n">
        <v>1</v>
      </c>
      <c r="L24" s="9" t="n">
        <v>46226</v>
      </c>
      <c r="M24" s="9" t="n">
        <v>46227</v>
      </c>
      <c r="N24" s="6" t="n">
        <f aca="false">IF(L24="","",M24-L24+1)</f>
        <v>2</v>
      </c>
      <c r="O24" s="6" t="n">
        <f aca="false">IF(L24="","",L24-$S$2+1)</f>
        <v>1</v>
      </c>
      <c r="P24" s="5"/>
    </row>
    <row r="25" customFormat="false" ht="35.05" hidden="false" customHeight="false" outlineLevel="0" collapsed="false">
      <c r="A25" s="14" t="s">
        <v>125</v>
      </c>
      <c r="B25" s="15" t="s">
        <v>126</v>
      </c>
      <c r="C25" s="5" t="s">
        <v>127</v>
      </c>
      <c r="D25" s="14" t="s">
        <v>123</v>
      </c>
      <c r="E25" s="6" t="s">
        <v>45</v>
      </c>
      <c r="F25" s="5" t="s">
        <v>21</v>
      </c>
      <c r="G25" s="6" t="s">
        <v>124</v>
      </c>
      <c r="H25" s="7" t="s">
        <v>24</v>
      </c>
      <c r="I25" s="6" t="s">
        <v>46</v>
      </c>
      <c r="J25" s="5" t="s">
        <v>128</v>
      </c>
      <c r="K25" s="8" t="n">
        <v>1</v>
      </c>
      <c r="L25" s="9" t="n">
        <v>46229</v>
      </c>
      <c r="M25" s="9" t="n">
        <v>46230</v>
      </c>
      <c r="N25" s="6" t="n">
        <f aca="false">IF(L25="","",M25-L25+1)</f>
        <v>2</v>
      </c>
      <c r="O25" s="6" t="n">
        <f aca="false">IF(L25="","",L25-$S$2+1)</f>
        <v>4</v>
      </c>
      <c r="P25" s="5"/>
    </row>
    <row r="26" customFormat="false" ht="35.05" hidden="false" customHeight="false" outlineLevel="0" collapsed="false">
      <c r="A26" s="14" t="s">
        <v>129</v>
      </c>
      <c r="B26" s="15" t="s">
        <v>130</v>
      </c>
      <c r="C26" s="5" t="s">
        <v>131</v>
      </c>
      <c r="D26" s="14" t="s">
        <v>123</v>
      </c>
      <c r="E26" s="6" t="s">
        <v>99</v>
      </c>
      <c r="F26" s="5"/>
      <c r="G26" s="6" t="s">
        <v>124</v>
      </c>
      <c r="H26" s="7" t="s">
        <v>24</v>
      </c>
      <c r="I26" s="6" t="s">
        <v>46</v>
      </c>
      <c r="J26" s="5" t="s">
        <v>120</v>
      </c>
      <c r="K26" s="8" t="n">
        <v>1</v>
      </c>
      <c r="L26" s="9" t="n">
        <v>46230</v>
      </c>
      <c r="M26" s="9" t="n">
        <v>46231</v>
      </c>
      <c r="N26" s="6" t="n">
        <f aca="false">IF(L26="","",M26-L26+1)</f>
        <v>2</v>
      </c>
      <c r="O26" s="6" t="n">
        <f aca="false">IF(L26="","",L26-$S$2+1)</f>
        <v>5</v>
      </c>
      <c r="P26" s="5"/>
    </row>
    <row r="27" customFormat="false" ht="35.05" hidden="false" customHeight="false" outlineLevel="0" collapsed="false">
      <c r="A27" s="14" t="s">
        <v>132</v>
      </c>
      <c r="B27" s="15" t="s">
        <v>133</v>
      </c>
      <c r="C27" s="5" t="s">
        <v>134</v>
      </c>
      <c r="D27" s="14" t="s">
        <v>123</v>
      </c>
      <c r="E27" s="6" t="s">
        <v>99</v>
      </c>
      <c r="F27" s="5" t="s">
        <v>45</v>
      </c>
      <c r="G27" s="6" t="s">
        <v>124</v>
      </c>
      <c r="H27" s="7" t="s">
        <v>24</v>
      </c>
      <c r="I27" s="6" t="s">
        <v>46</v>
      </c>
      <c r="J27" s="5"/>
      <c r="K27" s="8" t="n">
        <v>1</v>
      </c>
      <c r="L27" s="9" t="n">
        <v>46227</v>
      </c>
      <c r="M27" s="9" t="n">
        <v>46228</v>
      </c>
      <c r="N27" s="6" t="n">
        <f aca="false">IF(L27="","",M27-L27+1)</f>
        <v>2</v>
      </c>
      <c r="O27" s="6" t="n">
        <f aca="false">IF(L27="","",L27-$S$2+1)</f>
        <v>2</v>
      </c>
      <c r="P27" s="5" t="s">
        <v>135</v>
      </c>
    </row>
    <row r="28" customFormat="false" ht="35.05" hidden="false" customHeight="false" outlineLevel="0" collapsed="false">
      <c r="A28" s="14" t="s">
        <v>136</v>
      </c>
      <c r="B28" s="15" t="s">
        <v>137</v>
      </c>
      <c r="C28" s="5" t="s">
        <v>138</v>
      </c>
      <c r="D28" s="14" t="s">
        <v>123</v>
      </c>
      <c r="E28" s="6" t="s">
        <v>99</v>
      </c>
      <c r="F28" s="5" t="s">
        <v>22</v>
      </c>
      <c r="G28" s="6" t="s">
        <v>124</v>
      </c>
      <c r="H28" s="7" t="s">
        <v>24</v>
      </c>
      <c r="I28" s="6" t="s">
        <v>46</v>
      </c>
      <c r="J28" s="5" t="s">
        <v>139</v>
      </c>
      <c r="K28" s="8" t="n">
        <v>1.5</v>
      </c>
      <c r="L28" s="9" t="n">
        <v>46230</v>
      </c>
      <c r="M28" s="9" t="n">
        <v>46231</v>
      </c>
      <c r="N28" s="6" t="n">
        <f aca="false">IF(L28="","",M28-L28+1)</f>
        <v>2</v>
      </c>
      <c r="O28" s="6" t="n">
        <f aca="false">IF(L28="","",L28-$S$2+1)</f>
        <v>5</v>
      </c>
      <c r="P28" s="5"/>
    </row>
    <row r="29" customFormat="false" ht="35.05" hidden="false" customHeight="false" outlineLevel="0" collapsed="false">
      <c r="A29" s="14" t="s">
        <v>140</v>
      </c>
      <c r="B29" s="15" t="s">
        <v>141</v>
      </c>
      <c r="C29" s="5" t="s">
        <v>142</v>
      </c>
      <c r="D29" s="14" t="s">
        <v>123</v>
      </c>
      <c r="E29" s="6" t="s">
        <v>99</v>
      </c>
      <c r="F29" s="5"/>
      <c r="G29" s="6" t="s">
        <v>124</v>
      </c>
      <c r="H29" s="7" t="s">
        <v>24</v>
      </c>
      <c r="I29" s="6" t="s">
        <v>46</v>
      </c>
      <c r="J29" s="5" t="s">
        <v>132</v>
      </c>
      <c r="K29" s="8" t="n">
        <v>1</v>
      </c>
      <c r="L29" s="9" t="n">
        <v>46231</v>
      </c>
      <c r="M29" s="9" t="n">
        <v>46232</v>
      </c>
      <c r="N29" s="6" t="n">
        <f aca="false">IF(L29="","",M29-L29+1)</f>
        <v>2</v>
      </c>
      <c r="O29" s="6" t="n">
        <f aca="false">IF(L29="","",L29-$S$2+1)</f>
        <v>6</v>
      </c>
      <c r="P29" s="5"/>
    </row>
    <row r="30" customFormat="false" ht="35.05" hidden="false" customHeight="false" outlineLevel="0" collapsed="false">
      <c r="A30" s="14" t="s">
        <v>143</v>
      </c>
      <c r="B30" s="15" t="s">
        <v>144</v>
      </c>
      <c r="C30" s="5" t="s">
        <v>145</v>
      </c>
      <c r="D30" s="14" t="s">
        <v>123</v>
      </c>
      <c r="E30" s="6" t="s">
        <v>99</v>
      </c>
      <c r="F30" s="5" t="s">
        <v>45</v>
      </c>
      <c r="G30" s="6" t="s">
        <v>124</v>
      </c>
      <c r="H30" s="7" t="s">
        <v>24</v>
      </c>
      <c r="I30" s="6" t="s">
        <v>46</v>
      </c>
      <c r="J30" s="5" t="s">
        <v>140</v>
      </c>
      <c r="K30" s="8" t="n">
        <v>1</v>
      </c>
      <c r="L30" s="9" t="n">
        <v>46232</v>
      </c>
      <c r="M30" s="9" t="n">
        <v>46233</v>
      </c>
      <c r="N30" s="6" t="n">
        <f aca="false">IF(L30="","",M30-L30+1)</f>
        <v>2</v>
      </c>
      <c r="O30" s="6" t="n">
        <f aca="false">IF(L30="","",L30-$S$2+1)</f>
        <v>7</v>
      </c>
      <c r="P30" s="5" t="s">
        <v>146</v>
      </c>
    </row>
    <row r="31" customFormat="false" ht="35.05" hidden="false" customHeight="false" outlineLevel="0" collapsed="false">
      <c r="A31" s="14" t="s">
        <v>147</v>
      </c>
      <c r="B31" s="15" t="s">
        <v>148</v>
      </c>
      <c r="C31" s="5" t="s">
        <v>149</v>
      </c>
      <c r="D31" s="14" t="s">
        <v>123</v>
      </c>
      <c r="E31" s="6" t="s">
        <v>99</v>
      </c>
      <c r="F31" s="5"/>
      <c r="G31" s="6" t="s">
        <v>124</v>
      </c>
      <c r="H31" s="13" t="s">
        <v>88</v>
      </c>
      <c r="I31" s="6" t="s">
        <v>46</v>
      </c>
      <c r="J31" s="5" t="s">
        <v>132</v>
      </c>
      <c r="K31" s="8" t="n">
        <v>1.5</v>
      </c>
      <c r="L31" s="9" t="n">
        <v>46233</v>
      </c>
      <c r="M31" s="9" t="n">
        <v>46235</v>
      </c>
      <c r="N31" s="6" t="n">
        <f aca="false">IF(L31="","",M31-L31+1)</f>
        <v>3</v>
      </c>
      <c r="O31" s="6" t="n">
        <f aca="false">IF(L31="","",L31-$S$2+1)</f>
        <v>8</v>
      </c>
      <c r="P31" s="5" t="s">
        <v>150</v>
      </c>
    </row>
    <row r="32" customFormat="false" ht="35.05" hidden="false" customHeight="false" outlineLevel="0" collapsed="false">
      <c r="A32" s="14" t="s">
        <v>151</v>
      </c>
      <c r="B32" s="15" t="s">
        <v>152</v>
      </c>
      <c r="C32" s="5" t="s">
        <v>153</v>
      </c>
      <c r="D32" s="14" t="s">
        <v>123</v>
      </c>
      <c r="E32" s="6" t="s">
        <v>99</v>
      </c>
      <c r="F32" s="5" t="s">
        <v>45</v>
      </c>
      <c r="G32" s="6" t="s">
        <v>124</v>
      </c>
      <c r="H32" s="7" t="s">
        <v>24</v>
      </c>
      <c r="I32" s="6" t="s">
        <v>46</v>
      </c>
      <c r="J32" s="5" t="s">
        <v>136</v>
      </c>
      <c r="K32" s="8" t="n">
        <v>1</v>
      </c>
      <c r="L32" s="9" t="n">
        <v>46233</v>
      </c>
      <c r="M32" s="9" t="n">
        <v>46234</v>
      </c>
      <c r="N32" s="6" t="n">
        <f aca="false">IF(L32="","",M32-L32+1)</f>
        <v>2</v>
      </c>
      <c r="O32" s="6" t="n">
        <f aca="false">IF(L32="","",L32-$S$2+1)</f>
        <v>8</v>
      </c>
      <c r="P32" s="5"/>
    </row>
    <row r="33" customFormat="false" ht="35.05" hidden="false" customHeight="false" outlineLevel="0" collapsed="false">
      <c r="A33" s="14" t="s">
        <v>154</v>
      </c>
      <c r="B33" s="15" t="s">
        <v>155</v>
      </c>
      <c r="C33" s="5" t="s">
        <v>156</v>
      </c>
      <c r="D33" s="14" t="s">
        <v>123</v>
      </c>
      <c r="E33" s="6" t="s">
        <v>99</v>
      </c>
      <c r="F33" s="5" t="s">
        <v>45</v>
      </c>
      <c r="G33" s="6" t="s">
        <v>157</v>
      </c>
      <c r="H33" s="7" t="s">
        <v>24</v>
      </c>
      <c r="I33" s="6" t="s">
        <v>46</v>
      </c>
      <c r="J33" s="5" t="s">
        <v>158</v>
      </c>
      <c r="K33" s="8" t="n">
        <v>2</v>
      </c>
      <c r="L33" s="9" t="n">
        <v>46234</v>
      </c>
      <c r="M33" s="9" t="n">
        <v>46236</v>
      </c>
      <c r="N33" s="6" t="n">
        <f aca="false">IF(L33="","",M33-L33+1)</f>
        <v>3</v>
      </c>
      <c r="O33" s="6" t="n">
        <f aca="false">IF(L33="","",L33-$S$2+1)</f>
        <v>9</v>
      </c>
      <c r="P33" s="5" t="s">
        <v>159</v>
      </c>
    </row>
    <row r="34" customFormat="false" ht="35.05" hidden="false" customHeight="false" outlineLevel="0" collapsed="false">
      <c r="A34" s="14" t="s">
        <v>160</v>
      </c>
      <c r="B34" s="15" t="s">
        <v>161</v>
      </c>
      <c r="C34" s="5" t="s">
        <v>162</v>
      </c>
      <c r="D34" s="14" t="s">
        <v>123</v>
      </c>
      <c r="E34" s="6" t="s">
        <v>45</v>
      </c>
      <c r="F34" s="5" t="s">
        <v>99</v>
      </c>
      <c r="G34" s="6" t="s">
        <v>157</v>
      </c>
      <c r="H34" s="7" t="s">
        <v>24</v>
      </c>
      <c r="I34" s="6" t="s">
        <v>46</v>
      </c>
      <c r="J34" s="5" t="s">
        <v>163</v>
      </c>
      <c r="K34" s="8" t="n">
        <v>1</v>
      </c>
      <c r="L34" s="9" t="n">
        <v>46235</v>
      </c>
      <c r="M34" s="9" t="n">
        <v>46236</v>
      </c>
      <c r="N34" s="6" t="n">
        <f aca="false">IF(L34="","",M34-L34+1)</f>
        <v>2</v>
      </c>
      <c r="O34" s="6" t="n">
        <f aca="false">IF(L34="","",L34-$S$2+1)</f>
        <v>10</v>
      </c>
      <c r="P34" s="5"/>
    </row>
    <row r="35" customFormat="false" ht="23.85" hidden="false" customHeight="false" outlineLevel="0" collapsed="false">
      <c r="A35" s="14" t="s">
        <v>164</v>
      </c>
      <c r="B35" s="15" t="s">
        <v>165</v>
      </c>
      <c r="C35" s="5" t="s">
        <v>166</v>
      </c>
      <c r="D35" s="14" t="s">
        <v>123</v>
      </c>
      <c r="E35" s="6" t="s">
        <v>45</v>
      </c>
      <c r="F35" s="5" t="s">
        <v>21</v>
      </c>
      <c r="G35" s="6" t="s">
        <v>124</v>
      </c>
      <c r="H35" s="7" t="s">
        <v>24</v>
      </c>
      <c r="I35" s="6" t="s">
        <v>51</v>
      </c>
      <c r="J35" s="5" t="s">
        <v>167</v>
      </c>
      <c r="K35" s="8" t="n">
        <v>2</v>
      </c>
      <c r="L35" s="9" t="n">
        <v>46237</v>
      </c>
      <c r="M35" s="9" t="n">
        <v>46238</v>
      </c>
      <c r="N35" s="6" t="n">
        <f aca="false">IF(L35="","",M35-L35+1)</f>
        <v>2</v>
      </c>
      <c r="O35" s="6" t="n">
        <f aca="false">IF(L35="","",L35-$S$2+1)</f>
        <v>12</v>
      </c>
      <c r="P35" s="5"/>
    </row>
    <row r="36" customFormat="false" ht="23.85" hidden="false" customHeight="false" outlineLevel="0" collapsed="false">
      <c r="A36" s="14" t="s">
        <v>168</v>
      </c>
      <c r="B36" s="15" t="s">
        <v>169</v>
      </c>
      <c r="C36" s="5" t="s">
        <v>170</v>
      </c>
      <c r="D36" s="14" t="s">
        <v>123</v>
      </c>
      <c r="E36" s="6" t="s">
        <v>45</v>
      </c>
      <c r="F36" s="5"/>
      <c r="G36" s="6" t="s">
        <v>124</v>
      </c>
      <c r="H36" s="7" t="s">
        <v>24</v>
      </c>
      <c r="I36" s="6" t="s">
        <v>51</v>
      </c>
      <c r="J36" s="5" t="s">
        <v>171</v>
      </c>
      <c r="K36" s="8" t="n">
        <v>1</v>
      </c>
      <c r="L36" s="9" t="n">
        <v>46239</v>
      </c>
      <c r="M36" s="9" t="n">
        <v>46239</v>
      </c>
      <c r="N36" s="6" t="n">
        <f aca="false">IF(L36="","",M36-L36+1)</f>
        <v>1</v>
      </c>
      <c r="O36" s="6" t="n">
        <f aca="false">IF(L36="","",L36-$S$2+1)</f>
        <v>14</v>
      </c>
      <c r="P36" s="5"/>
    </row>
    <row r="37" customFormat="false" ht="23.85" hidden="false" customHeight="false" outlineLevel="0" collapsed="false">
      <c r="A37" s="14" t="s">
        <v>172</v>
      </c>
      <c r="B37" s="15" t="s">
        <v>173</v>
      </c>
      <c r="C37" s="5" t="s">
        <v>174</v>
      </c>
      <c r="D37" s="14" t="s">
        <v>123</v>
      </c>
      <c r="E37" s="6" t="s">
        <v>45</v>
      </c>
      <c r="F37" s="5" t="s">
        <v>21</v>
      </c>
      <c r="G37" s="6" t="s">
        <v>124</v>
      </c>
      <c r="H37" s="7" t="s">
        <v>24</v>
      </c>
      <c r="I37" s="6" t="s">
        <v>51</v>
      </c>
      <c r="J37" s="5" t="s">
        <v>168</v>
      </c>
      <c r="K37" s="8" t="n">
        <v>1.5</v>
      </c>
      <c r="L37" s="9" t="n">
        <v>46239</v>
      </c>
      <c r="M37" s="9" t="n">
        <v>46240</v>
      </c>
      <c r="N37" s="6" t="n">
        <f aca="false">IF(L37="","",M37-L37+1)</f>
        <v>2</v>
      </c>
      <c r="O37" s="6" t="n">
        <f aca="false">IF(L37="","",L37-$S$2+1)</f>
        <v>14</v>
      </c>
      <c r="P37" s="5"/>
    </row>
    <row r="38" customFormat="false" ht="35.05" hidden="false" customHeight="false" outlineLevel="0" collapsed="false">
      <c r="A38" s="14" t="s">
        <v>175</v>
      </c>
      <c r="B38" s="15" t="s">
        <v>176</v>
      </c>
      <c r="C38" s="5" t="s">
        <v>177</v>
      </c>
      <c r="D38" s="14" t="s">
        <v>123</v>
      </c>
      <c r="E38" s="6" t="s">
        <v>99</v>
      </c>
      <c r="F38" s="5" t="s">
        <v>45</v>
      </c>
      <c r="G38" s="6" t="s">
        <v>124</v>
      </c>
      <c r="H38" s="13" t="s">
        <v>88</v>
      </c>
      <c r="I38" s="6" t="s">
        <v>51</v>
      </c>
      <c r="J38" s="5" t="s">
        <v>178</v>
      </c>
      <c r="K38" s="8" t="n">
        <v>2</v>
      </c>
      <c r="L38" s="9" t="n">
        <v>46240</v>
      </c>
      <c r="M38" s="9" t="n">
        <v>46242</v>
      </c>
      <c r="N38" s="6" t="n">
        <f aca="false">IF(L38="","",M38-L38+1)</f>
        <v>3</v>
      </c>
      <c r="O38" s="6" t="n">
        <f aca="false">IF(L38="","",L38-$S$2+1)</f>
        <v>15</v>
      </c>
      <c r="P38" s="5" t="s">
        <v>179</v>
      </c>
    </row>
    <row r="39" customFormat="false" ht="35.05" hidden="false" customHeight="false" outlineLevel="0" collapsed="false">
      <c r="A39" s="14" t="s">
        <v>180</v>
      </c>
      <c r="B39" s="15" t="s">
        <v>181</v>
      </c>
      <c r="C39" s="5" t="s">
        <v>182</v>
      </c>
      <c r="D39" s="14" t="s">
        <v>123</v>
      </c>
      <c r="E39" s="6" t="s">
        <v>45</v>
      </c>
      <c r="F39" s="5"/>
      <c r="G39" s="6" t="s">
        <v>124</v>
      </c>
      <c r="H39" s="13" t="s">
        <v>88</v>
      </c>
      <c r="I39" s="6" t="s">
        <v>51</v>
      </c>
      <c r="J39" s="5" t="s">
        <v>172</v>
      </c>
      <c r="K39" s="8" t="n">
        <v>1</v>
      </c>
      <c r="L39" s="9" t="n">
        <v>46244</v>
      </c>
      <c r="M39" s="9" t="n">
        <v>46244</v>
      </c>
      <c r="N39" s="6" t="n">
        <f aca="false">IF(L39="","",M39-L39+1)</f>
        <v>1</v>
      </c>
      <c r="O39" s="6" t="n">
        <f aca="false">IF(L39="","",L39-$S$2+1)</f>
        <v>19</v>
      </c>
      <c r="P39" s="5" t="s">
        <v>183</v>
      </c>
    </row>
    <row r="40" customFormat="false" ht="35.05" hidden="false" customHeight="false" outlineLevel="0" collapsed="false">
      <c r="A40" s="14" t="s">
        <v>184</v>
      </c>
      <c r="B40" s="15" t="s">
        <v>185</v>
      </c>
      <c r="C40" s="5" t="s">
        <v>186</v>
      </c>
      <c r="D40" s="14" t="s">
        <v>123</v>
      </c>
      <c r="E40" s="6" t="s">
        <v>99</v>
      </c>
      <c r="F40" s="5"/>
      <c r="G40" s="6" t="s">
        <v>124</v>
      </c>
      <c r="H40" s="7" t="s">
        <v>24</v>
      </c>
      <c r="I40" s="6" t="s">
        <v>51</v>
      </c>
      <c r="J40" s="5" t="s">
        <v>187</v>
      </c>
      <c r="K40" s="8" t="n">
        <v>1</v>
      </c>
      <c r="L40" s="9" t="n">
        <v>46241</v>
      </c>
      <c r="M40" s="9" t="n">
        <v>46241</v>
      </c>
      <c r="N40" s="6" t="n">
        <f aca="false">IF(L40="","",M40-L40+1)</f>
        <v>1</v>
      </c>
      <c r="O40" s="6" t="n">
        <f aca="false">IF(L40="","",L40-$S$2+1)</f>
        <v>16</v>
      </c>
      <c r="P40" s="5"/>
    </row>
    <row r="41" customFormat="false" ht="23.85" hidden="false" customHeight="false" outlineLevel="0" collapsed="false">
      <c r="A41" s="14" t="s">
        <v>188</v>
      </c>
      <c r="B41" s="15" t="s">
        <v>189</v>
      </c>
      <c r="C41" s="5" t="s">
        <v>190</v>
      </c>
      <c r="D41" s="14" t="s">
        <v>123</v>
      </c>
      <c r="E41" s="6" t="s">
        <v>45</v>
      </c>
      <c r="F41" s="5" t="s">
        <v>99</v>
      </c>
      <c r="G41" s="6" t="s">
        <v>157</v>
      </c>
      <c r="H41" s="7" t="s">
        <v>24</v>
      </c>
      <c r="I41" s="6" t="s">
        <v>51</v>
      </c>
      <c r="J41" s="5" t="s">
        <v>191</v>
      </c>
      <c r="K41" s="8" t="n">
        <v>2</v>
      </c>
      <c r="L41" s="9" t="n">
        <v>46244</v>
      </c>
      <c r="M41" s="9" t="n">
        <v>46247</v>
      </c>
      <c r="N41" s="6" t="n">
        <f aca="false">IF(L41="","",M41-L41+1)</f>
        <v>4</v>
      </c>
      <c r="O41" s="6" t="n">
        <f aca="false">IF(L41="","",L41-$S$2+1)</f>
        <v>19</v>
      </c>
      <c r="P41" s="5" t="s">
        <v>192</v>
      </c>
    </row>
    <row r="42" customFormat="false" ht="23.85" hidden="false" customHeight="false" outlineLevel="0" collapsed="false">
      <c r="A42" s="14" t="s">
        <v>193</v>
      </c>
      <c r="B42" s="15" t="s">
        <v>194</v>
      </c>
      <c r="C42" s="5" t="s">
        <v>195</v>
      </c>
      <c r="D42" s="14" t="s">
        <v>123</v>
      </c>
      <c r="E42" s="6" t="s">
        <v>45</v>
      </c>
      <c r="F42" s="5" t="s">
        <v>99</v>
      </c>
      <c r="G42" s="6" t="s">
        <v>157</v>
      </c>
      <c r="H42" s="7" t="s">
        <v>24</v>
      </c>
      <c r="I42" s="6" t="s">
        <v>51</v>
      </c>
      <c r="J42" s="5" t="s">
        <v>196</v>
      </c>
      <c r="K42" s="8" t="n">
        <v>2</v>
      </c>
      <c r="L42" s="9" t="n">
        <v>46248</v>
      </c>
      <c r="M42" s="9" t="n">
        <v>46250</v>
      </c>
      <c r="N42" s="6" t="n">
        <f aca="false">IF(L42="","",M42-L42+1)</f>
        <v>3</v>
      </c>
      <c r="O42" s="6" t="n">
        <f aca="false">IF(L42="","",L42-$S$2+1)</f>
        <v>23</v>
      </c>
      <c r="P42" s="5" t="s">
        <v>197</v>
      </c>
    </row>
    <row r="43" customFormat="false" ht="23.85" hidden="false" customHeight="false" outlineLevel="0" collapsed="false">
      <c r="A43" s="14" t="s">
        <v>198</v>
      </c>
      <c r="B43" s="15" t="s">
        <v>199</v>
      </c>
      <c r="C43" s="5" t="s">
        <v>200</v>
      </c>
      <c r="D43" s="14" t="s">
        <v>123</v>
      </c>
      <c r="E43" s="6" t="s">
        <v>99</v>
      </c>
      <c r="F43" s="5" t="s">
        <v>45</v>
      </c>
      <c r="G43" s="6" t="s">
        <v>157</v>
      </c>
      <c r="H43" s="13" t="s">
        <v>88</v>
      </c>
      <c r="I43" s="6" t="s">
        <v>51</v>
      </c>
      <c r="J43" s="5" t="s">
        <v>193</v>
      </c>
      <c r="K43" s="8" t="n">
        <v>1.5</v>
      </c>
      <c r="L43" s="9" t="n">
        <v>46249</v>
      </c>
      <c r="M43" s="9" t="n">
        <v>46250</v>
      </c>
      <c r="N43" s="6" t="n">
        <f aca="false">IF(L43="","",M43-L43+1)</f>
        <v>2</v>
      </c>
      <c r="O43" s="6" t="n">
        <f aca="false">IF(L43="","",L43-$S$2+1)</f>
        <v>24</v>
      </c>
      <c r="P43" s="5"/>
    </row>
    <row r="44" customFormat="false" ht="35.05" hidden="false" customHeight="false" outlineLevel="0" collapsed="false">
      <c r="A44" s="14" t="s">
        <v>201</v>
      </c>
      <c r="B44" s="15" t="s">
        <v>202</v>
      </c>
      <c r="C44" s="5" t="s">
        <v>203</v>
      </c>
      <c r="D44" s="14" t="s">
        <v>123</v>
      </c>
      <c r="E44" s="6" t="s">
        <v>99</v>
      </c>
      <c r="F44" s="5" t="s">
        <v>204</v>
      </c>
      <c r="G44" s="6" t="s">
        <v>157</v>
      </c>
      <c r="H44" s="13" t="s">
        <v>88</v>
      </c>
      <c r="I44" s="6" t="s">
        <v>63</v>
      </c>
      <c r="J44" s="5" t="s">
        <v>205</v>
      </c>
      <c r="K44" s="8" t="n">
        <v>1.5</v>
      </c>
      <c r="L44" s="9" t="n">
        <v>46251</v>
      </c>
      <c r="M44" s="9" t="n">
        <v>46252</v>
      </c>
      <c r="N44" s="6" t="n">
        <f aca="false">IF(L44="","",M44-L44+1)</f>
        <v>2</v>
      </c>
      <c r="O44" s="6" t="n">
        <f aca="false">IF(L44="","",L44-$S$2+1)</f>
        <v>26</v>
      </c>
      <c r="P44" s="5" t="s">
        <v>206</v>
      </c>
    </row>
    <row r="45" customFormat="false" ht="23.85" hidden="false" customHeight="false" outlineLevel="0" collapsed="false">
      <c r="A45" s="14" t="s">
        <v>207</v>
      </c>
      <c r="B45" s="15" t="s">
        <v>208</v>
      </c>
      <c r="C45" s="5" t="s">
        <v>209</v>
      </c>
      <c r="D45" s="14" t="s">
        <v>123</v>
      </c>
      <c r="E45" s="6" t="s">
        <v>45</v>
      </c>
      <c r="F45" s="5" t="s">
        <v>99</v>
      </c>
      <c r="G45" s="6" t="s">
        <v>157</v>
      </c>
      <c r="H45" s="16" t="s">
        <v>210</v>
      </c>
      <c r="I45" s="6" t="s">
        <v>63</v>
      </c>
      <c r="J45" s="5" t="s">
        <v>211</v>
      </c>
      <c r="K45" s="8" t="n">
        <v>1.5</v>
      </c>
      <c r="L45" s="9" t="n">
        <v>46252</v>
      </c>
      <c r="M45" s="9" t="n">
        <v>46253</v>
      </c>
      <c r="N45" s="6" t="n">
        <f aca="false">IF(L45="","",M45-L45+1)</f>
        <v>2</v>
      </c>
      <c r="O45" s="6" t="n">
        <f aca="false">IF(L45="","",L45-$S$2+1)</f>
        <v>27</v>
      </c>
      <c r="P45" s="5" t="s">
        <v>212</v>
      </c>
    </row>
    <row r="46" customFormat="false" ht="23.85" hidden="false" customHeight="false" outlineLevel="0" collapsed="false">
      <c r="A46" s="14" t="s">
        <v>213</v>
      </c>
      <c r="B46" s="15" t="s">
        <v>214</v>
      </c>
      <c r="C46" s="5" t="s">
        <v>215</v>
      </c>
      <c r="D46" s="14" t="s">
        <v>123</v>
      </c>
      <c r="E46" s="6" t="s">
        <v>45</v>
      </c>
      <c r="F46" s="5"/>
      <c r="G46" s="6" t="s">
        <v>124</v>
      </c>
      <c r="H46" s="13" t="s">
        <v>88</v>
      </c>
      <c r="I46" s="6"/>
      <c r="J46" s="5" t="s">
        <v>147</v>
      </c>
      <c r="K46" s="8" t="n">
        <v>1</v>
      </c>
      <c r="L46" s="9" t="n">
        <v>46240</v>
      </c>
      <c r="M46" s="9" t="n">
        <v>46241</v>
      </c>
      <c r="N46" s="6" t="n">
        <f aca="false">IF(L46="","",M46-L46+1)</f>
        <v>2</v>
      </c>
      <c r="O46" s="6" t="n">
        <f aca="false">IF(L46="","",L46-$S$2+1)</f>
        <v>15</v>
      </c>
      <c r="P46" s="5"/>
    </row>
    <row r="47" customFormat="false" ht="23.85" hidden="false" customHeight="false" outlineLevel="0" collapsed="false">
      <c r="A47" s="14" t="s">
        <v>216</v>
      </c>
      <c r="B47" s="15" t="s">
        <v>217</v>
      </c>
      <c r="C47" s="5" t="s">
        <v>218</v>
      </c>
      <c r="D47" s="14" t="s">
        <v>123</v>
      </c>
      <c r="E47" s="6" t="s">
        <v>45</v>
      </c>
      <c r="F47" s="5" t="s">
        <v>99</v>
      </c>
      <c r="G47" s="6" t="s">
        <v>157</v>
      </c>
      <c r="H47" s="16" t="s">
        <v>210</v>
      </c>
      <c r="I47" s="6" t="s">
        <v>63</v>
      </c>
      <c r="J47" s="5" t="s">
        <v>207</v>
      </c>
      <c r="K47" s="8" t="n">
        <v>2</v>
      </c>
      <c r="L47" s="9"/>
      <c r="M47" s="9"/>
      <c r="N47" s="6" t="str">
        <f aca="false">IF(L47="","",M47-L47+1)</f>
        <v/>
      </c>
      <c r="O47" s="6" t="str">
        <f aca="false">IF(L47="","",L47-$S$2+1)</f>
        <v/>
      </c>
      <c r="P47" s="5" t="s">
        <v>219</v>
      </c>
    </row>
    <row r="48" customFormat="false" ht="23.85" hidden="false" customHeight="false" outlineLevel="0" collapsed="false">
      <c r="A48" s="14" t="s">
        <v>220</v>
      </c>
      <c r="B48" s="15" t="s">
        <v>221</v>
      </c>
      <c r="C48" s="5" t="s">
        <v>222</v>
      </c>
      <c r="D48" s="14" t="s">
        <v>123</v>
      </c>
      <c r="E48" s="6" t="s">
        <v>45</v>
      </c>
      <c r="F48" s="5"/>
      <c r="G48" s="6" t="s">
        <v>124</v>
      </c>
      <c r="H48" s="16" t="s">
        <v>210</v>
      </c>
      <c r="I48" s="6"/>
      <c r="J48" s="5" t="s">
        <v>172</v>
      </c>
      <c r="K48" s="8" t="n">
        <v>2</v>
      </c>
      <c r="L48" s="9"/>
      <c r="M48" s="9"/>
      <c r="N48" s="6" t="str">
        <f aca="false">IF(L48="","",M48-L48+1)</f>
        <v/>
      </c>
      <c r="O48" s="6" t="str">
        <f aca="false">IF(L48="","",L48-$S$2+1)</f>
        <v/>
      </c>
      <c r="P48" s="5" t="s">
        <v>223</v>
      </c>
    </row>
    <row r="49" customFormat="false" ht="35.05" hidden="false" customHeight="false" outlineLevel="0" collapsed="false">
      <c r="A49" s="17" t="s">
        <v>224</v>
      </c>
      <c r="B49" s="18" t="s">
        <v>225</v>
      </c>
      <c r="C49" s="5" t="s">
        <v>226</v>
      </c>
      <c r="D49" s="17" t="s">
        <v>227</v>
      </c>
      <c r="E49" s="6" t="s">
        <v>59</v>
      </c>
      <c r="F49" s="5" t="s">
        <v>228</v>
      </c>
      <c r="G49" s="6" t="s">
        <v>229</v>
      </c>
      <c r="H49" s="7" t="s">
        <v>24</v>
      </c>
      <c r="I49" s="6" t="s">
        <v>25</v>
      </c>
      <c r="J49" s="5" t="s">
        <v>230</v>
      </c>
      <c r="K49" s="8" t="n">
        <v>1.5</v>
      </c>
      <c r="L49" s="9" t="n">
        <v>46226</v>
      </c>
      <c r="M49" s="9" t="n">
        <v>46227</v>
      </c>
      <c r="N49" s="6" t="n">
        <f aca="false">IF(L49="","",M49-L49+1)</f>
        <v>2</v>
      </c>
      <c r="O49" s="6" t="n">
        <f aca="false">IF(L49="","",L49-$S$2+1)</f>
        <v>1</v>
      </c>
      <c r="P49" s="5"/>
    </row>
    <row r="50" customFormat="false" ht="35.05" hidden="false" customHeight="false" outlineLevel="0" collapsed="false">
      <c r="A50" s="17" t="s">
        <v>231</v>
      </c>
      <c r="B50" s="18" t="s">
        <v>232</v>
      </c>
      <c r="C50" s="5" t="s">
        <v>233</v>
      </c>
      <c r="D50" s="17" t="s">
        <v>227</v>
      </c>
      <c r="E50" s="6" t="s">
        <v>228</v>
      </c>
      <c r="F50" s="5" t="s">
        <v>234</v>
      </c>
      <c r="G50" s="6" t="s">
        <v>229</v>
      </c>
      <c r="H50" s="7" t="s">
        <v>24</v>
      </c>
      <c r="I50" s="6" t="s">
        <v>46</v>
      </c>
      <c r="J50" s="5" t="s">
        <v>235</v>
      </c>
      <c r="K50" s="8" t="n">
        <v>1.5</v>
      </c>
      <c r="L50" s="9" t="n">
        <v>46227</v>
      </c>
      <c r="M50" s="9" t="n">
        <v>46229</v>
      </c>
      <c r="N50" s="6" t="n">
        <f aca="false">IF(L50="","",M50-L50+1)</f>
        <v>3</v>
      </c>
      <c r="O50" s="6" t="n">
        <f aca="false">IF(L50="","",L50-$S$2+1)</f>
        <v>2</v>
      </c>
      <c r="P50" s="5" t="s">
        <v>236</v>
      </c>
    </row>
    <row r="51" customFormat="false" ht="23.85" hidden="false" customHeight="false" outlineLevel="0" collapsed="false">
      <c r="A51" s="17" t="s">
        <v>237</v>
      </c>
      <c r="B51" s="18" t="s">
        <v>238</v>
      </c>
      <c r="C51" s="5" t="s">
        <v>239</v>
      </c>
      <c r="D51" s="17" t="s">
        <v>227</v>
      </c>
      <c r="E51" s="6" t="s">
        <v>59</v>
      </c>
      <c r="F51" s="5"/>
      <c r="G51" s="6" t="s">
        <v>229</v>
      </c>
      <c r="H51" s="7" t="s">
        <v>24</v>
      </c>
      <c r="I51" s="6" t="s">
        <v>46</v>
      </c>
      <c r="J51" s="5" t="s">
        <v>224</v>
      </c>
      <c r="K51" s="8" t="n">
        <v>1</v>
      </c>
      <c r="L51" s="9" t="n">
        <v>46230</v>
      </c>
      <c r="M51" s="9" t="n">
        <v>46230</v>
      </c>
      <c r="N51" s="6" t="n">
        <f aca="false">IF(L51="","",M51-L51+1)</f>
        <v>1</v>
      </c>
      <c r="O51" s="6" t="n">
        <f aca="false">IF(L51="","",L51-$S$2+1)</f>
        <v>5</v>
      </c>
      <c r="P51" s="5" t="s">
        <v>240</v>
      </c>
    </row>
    <row r="52" customFormat="false" ht="35.05" hidden="false" customHeight="false" outlineLevel="0" collapsed="false">
      <c r="A52" s="17" t="s">
        <v>241</v>
      </c>
      <c r="B52" s="18" t="s">
        <v>242</v>
      </c>
      <c r="C52" s="5" t="s">
        <v>243</v>
      </c>
      <c r="D52" s="17" t="s">
        <v>227</v>
      </c>
      <c r="E52" s="6" t="s">
        <v>228</v>
      </c>
      <c r="F52" s="5"/>
      <c r="G52" s="6" t="s">
        <v>229</v>
      </c>
      <c r="H52" s="7" t="s">
        <v>24</v>
      </c>
      <c r="I52" s="6" t="s">
        <v>46</v>
      </c>
      <c r="J52" s="5" t="s">
        <v>231</v>
      </c>
      <c r="K52" s="8" t="n">
        <v>1</v>
      </c>
      <c r="L52" s="9" t="n">
        <v>46230</v>
      </c>
      <c r="M52" s="9" t="n">
        <v>46231</v>
      </c>
      <c r="N52" s="6" t="n">
        <f aca="false">IF(L52="","",M52-L52+1)</f>
        <v>2</v>
      </c>
      <c r="O52" s="6" t="n">
        <f aca="false">IF(L52="","",L52-$S$2+1)</f>
        <v>5</v>
      </c>
      <c r="P52" s="5" t="s">
        <v>244</v>
      </c>
    </row>
    <row r="53" customFormat="false" ht="23.85" hidden="false" customHeight="false" outlineLevel="0" collapsed="false">
      <c r="A53" s="17" t="s">
        <v>245</v>
      </c>
      <c r="B53" s="18" t="s">
        <v>246</v>
      </c>
      <c r="C53" s="5" t="s">
        <v>247</v>
      </c>
      <c r="D53" s="17" t="s">
        <v>227</v>
      </c>
      <c r="E53" s="6" t="s">
        <v>59</v>
      </c>
      <c r="F53" s="5"/>
      <c r="G53" s="6" t="s">
        <v>229</v>
      </c>
      <c r="H53" s="7" t="s">
        <v>24</v>
      </c>
      <c r="I53" s="6" t="s">
        <v>46</v>
      </c>
      <c r="J53" s="5" t="s">
        <v>241</v>
      </c>
      <c r="K53" s="8" t="n">
        <v>1</v>
      </c>
      <c r="L53" s="9" t="n">
        <v>46231</v>
      </c>
      <c r="M53" s="9" t="n">
        <v>46232</v>
      </c>
      <c r="N53" s="6" t="n">
        <f aca="false">IF(L53="","",M53-L53+1)</f>
        <v>2</v>
      </c>
      <c r="O53" s="6" t="n">
        <f aca="false">IF(L53="","",L53-$S$2+1)</f>
        <v>6</v>
      </c>
      <c r="P53" s="5" t="s">
        <v>248</v>
      </c>
    </row>
    <row r="54" customFormat="false" ht="35.05" hidden="false" customHeight="false" outlineLevel="0" collapsed="false">
      <c r="A54" s="17" t="s">
        <v>249</v>
      </c>
      <c r="B54" s="18" t="s">
        <v>250</v>
      </c>
      <c r="C54" s="5" t="s">
        <v>251</v>
      </c>
      <c r="D54" s="17" t="s">
        <v>227</v>
      </c>
      <c r="E54" s="6" t="s">
        <v>228</v>
      </c>
      <c r="F54" s="5" t="s">
        <v>59</v>
      </c>
      <c r="G54" s="6" t="s">
        <v>229</v>
      </c>
      <c r="H54" s="7" t="s">
        <v>24</v>
      </c>
      <c r="I54" s="6" t="s">
        <v>46</v>
      </c>
      <c r="J54" s="5" t="s">
        <v>252</v>
      </c>
      <c r="K54" s="8" t="n">
        <v>1</v>
      </c>
      <c r="L54" s="9" t="n">
        <v>46230</v>
      </c>
      <c r="M54" s="9" t="n">
        <v>46231</v>
      </c>
      <c r="N54" s="6" t="n">
        <f aca="false">IF(L54="","",M54-L54+1)</f>
        <v>2</v>
      </c>
      <c r="O54" s="6" t="n">
        <f aca="false">IF(L54="","",L54-$S$2+1)</f>
        <v>5</v>
      </c>
      <c r="P54" s="5"/>
    </row>
    <row r="55" customFormat="false" ht="35.05" hidden="false" customHeight="false" outlineLevel="0" collapsed="false">
      <c r="A55" s="17" t="s">
        <v>253</v>
      </c>
      <c r="B55" s="18" t="s">
        <v>254</v>
      </c>
      <c r="C55" s="5" t="s">
        <v>255</v>
      </c>
      <c r="D55" s="17" t="s">
        <v>227</v>
      </c>
      <c r="E55" s="6" t="s">
        <v>59</v>
      </c>
      <c r="F55" s="5"/>
      <c r="G55" s="6" t="s">
        <v>229</v>
      </c>
      <c r="H55" s="7" t="s">
        <v>24</v>
      </c>
      <c r="I55" s="6" t="s">
        <v>25</v>
      </c>
      <c r="J55" s="5" t="s">
        <v>237</v>
      </c>
      <c r="K55" s="8" t="n">
        <v>1</v>
      </c>
      <c r="L55" s="9" t="n">
        <v>46228</v>
      </c>
      <c r="M55" s="9" t="n">
        <v>46228</v>
      </c>
      <c r="N55" s="6" t="n">
        <f aca="false">IF(L55="","",M55-L55+1)</f>
        <v>1</v>
      </c>
      <c r="O55" s="6" t="n">
        <f aca="false">IF(L55="","",L55-$S$2+1)</f>
        <v>3</v>
      </c>
      <c r="P55" s="5" t="s">
        <v>256</v>
      </c>
    </row>
    <row r="56" customFormat="false" ht="23.85" hidden="false" customHeight="false" outlineLevel="0" collapsed="false">
      <c r="A56" s="17" t="s">
        <v>257</v>
      </c>
      <c r="B56" s="18" t="s">
        <v>258</v>
      </c>
      <c r="C56" s="5" t="s">
        <v>259</v>
      </c>
      <c r="D56" s="17" t="s">
        <v>227</v>
      </c>
      <c r="E56" s="6" t="s">
        <v>59</v>
      </c>
      <c r="F56" s="5" t="s">
        <v>22</v>
      </c>
      <c r="G56" s="6" t="s">
        <v>229</v>
      </c>
      <c r="H56" s="13" t="s">
        <v>88</v>
      </c>
      <c r="I56" s="6" t="s">
        <v>51</v>
      </c>
      <c r="J56" s="5" t="s">
        <v>260</v>
      </c>
      <c r="K56" s="8" t="n">
        <v>0.5</v>
      </c>
      <c r="L56" s="9" t="n">
        <v>46235</v>
      </c>
      <c r="M56" s="9" t="n">
        <v>46235</v>
      </c>
      <c r="N56" s="6" t="n">
        <f aca="false">IF(L56="","",M56-L56+1)</f>
        <v>1</v>
      </c>
      <c r="O56" s="6" t="n">
        <f aca="false">IF(L56="","",L56-$S$2+1)</f>
        <v>10</v>
      </c>
      <c r="P56" s="5"/>
    </row>
    <row r="57" customFormat="false" ht="23.85" hidden="false" customHeight="false" outlineLevel="0" collapsed="false">
      <c r="A57" s="17" t="s">
        <v>261</v>
      </c>
      <c r="B57" s="18" t="s">
        <v>262</v>
      </c>
      <c r="C57" s="5" t="s">
        <v>263</v>
      </c>
      <c r="D57" s="17" t="s">
        <v>227</v>
      </c>
      <c r="E57" s="6" t="s">
        <v>59</v>
      </c>
      <c r="F57" s="5" t="s">
        <v>22</v>
      </c>
      <c r="G57" s="6" t="s">
        <v>229</v>
      </c>
      <c r="H57" s="13" t="s">
        <v>88</v>
      </c>
      <c r="I57" s="6" t="s">
        <v>51</v>
      </c>
      <c r="J57" s="5" t="s">
        <v>224</v>
      </c>
      <c r="K57" s="8" t="n">
        <v>0.5</v>
      </c>
      <c r="L57" s="9" t="n">
        <v>46235</v>
      </c>
      <c r="M57" s="9" t="n">
        <v>46235</v>
      </c>
      <c r="N57" s="6" t="n">
        <f aca="false">IF(L57="","",M57-L57+1)</f>
        <v>1</v>
      </c>
      <c r="O57" s="6" t="n">
        <f aca="false">IF(L57="","",L57-$S$2+1)</f>
        <v>10</v>
      </c>
      <c r="P57" s="5"/>
    </row>
    <row r="58" customFormat="false" ht="23.85" hidden="false" customHeight="false" outlineLevel="0" collapsed="false">
      <c r="A58" s="17" t="s">
        <v>264</v>
      </c>
      <c r="B58" s="18" t="s">
        <v>265</v>
      </c>
      <c r="C58" s="5" t="s">
        <v>266</v>
      </c>
      <c r="D58" s="17" t="s">
        <v>227</v>
      </c>
      <c r="E58" s="6" t="s">
        <v>59</v>
      </c>
      <c r="F58" s="5" t="s">
        <v>22</v>
      </c>
      <c r="G58" s="6" t="s">
        <v>229</v>
      </c>
      <c r="H58" s="13" t="s">
        <v>88</v>
      </c>
      <c r="I58" s="6" t="s">
        <v>51</v>
      </c>
      <c r="J58" s="5" t="s">
        <v>224</v>
      </c>
      <c r="K58" s="8" t="n">
        <v>0.25</v>
      </c>
      <c r="L58" s="9" t="n">
        <v>46236</v>
      </c>
      <c r="M58" s="9" t="n">
        <v>46236</v>
      </c>
      <c r="N58" s="6" t="n">
        <f aca="false">IF(L58="","",M58-L58+1)</f>
        <v>1</v>
      </c>
      <c r="O58" s="6" t="n">
        <f aca="false">IF(L58="","",L58-$S$2+1)</f>
        <v>11</v>
      </c>
      <c r="P58" s="5"/>
    </row>
    <row r="59" customFormat="false" ht="23.85" hidden="false" customHeight="false" outlineLevel="0" collapsed="false">
      <c r="A59" s="17" t="s">
        <v>267</v>
      </c>
      <c r="B59" s="18" t="s">
        <v>268</v>
      </c>
      <c r="C59" s="5" t="s">
        <v>269</v>
      </c>
      <c r="D59" s="17" t="s">
        <v>227</v>
      </c>
      <c r="E59" s="6" t="s">
        <v>228</v>
      </c>
      <c r="F59" s="5"/>
      <c r="G59" s="6" t="s">
        <v>229</v>
      </c>
      <c r="H59" s="7" t="s">
        <v>24</v>
      </c>
      <c r="I59" s="6" t="s">
        <v>51</v>
      </c>
      <c r="J59" s="5" t="s">
        <v>224</v>
      </c>
      <c r="K59" s="8" t="n">
        <v>0.5</v>
      </c>
      <c r="L59" s="9" t="n">
        <v>46234</v>
      </c>
      <c r="M59" s="9" t="n">
        <v>46234</v>
      </c>
      <c r="N59" s="6" t="n">
        <f aca="false">IF(L59="","",M59-L59+1)</f>
        <v>1</v>
      </c>
      <c r="O59" s="6" t="n">
        <f aca="false">IF(L59="","",L59-$S$2+1)</f>
        <v>9</v>
      </c>
      <c r="P59" s="5" t="s">
        <v>270</v>
      </c>
    </row>
    <row r="60" customFormat="false" ht="35.05" hidden="false" customHeight="false" outlineLevel="0" collapsed="false">
      <c r="A60" s="17" t="s">
        <v>271</v>
      </c>
      <c r="B60" s="18" t="s">
        <v>272</v>
      </c>
      <c r="C60" s="5" t="s">
        <v>273</v>
      </c>
      <c r="D60" s="17" t="s">
        <v>227</v>
      </c>
      <c r="E60" s="6" t="s">
        <v>59</v>
      </c>
      <c r="F60" s="5" t="s">
        <v>228</v>
      </c>
      <c r="G60" s="6" t="s">
        <v>229</v>
      </c>
      <c r="H60" s="7" t="s">
        <v>24</v>
      </c>
      <c r="I60" s="6" t="s">
        <v>51</v>
      </c>
      <c r="J60" s="5" t="s">
        <v>274</v>
      </c>
      <c r="K60" s="8" t="n">
        <v>2</v>
      </c>
      <c r="L60" s="9" t="n">
        <v>46232</v>
      </c>
      <c r="M60" s="9" t="n">
        <v>46234</v>
      </c>
      <c r="N60" s="6" t="n">
        <f aca="false">IF(L60="","",M60-L60+1)</f>
        <v>3</v>
      </c>
      <c r="O60" s="6" t="n">
        <f aca="false">IF(L60="","",L60-$S$2+1)</f>
        <v>7</v>
      </c>
      <c r="P60" s="5"/>
    </row>
    <row r="61" customFormat="false" ht="23.85" hidden="false" customHeight="false" outlineLevel="0" collapsed="false">
      <c r="A61" s="17" t="s">
        <v>275</v>
      </c>
      <c r="B61" s="18" t="s">
        <v>276</v>
      </c>
      <c r="C61" s="5" t="s">
        <v>277</v>
      </c>
      <c r="D61" s="17" t="s">
        <v>227</v>
      </c>
      <c r="E61" s="6" t="s">
        <v>228</v>
      </c>
      <c r="F61" s="5"/>
      <c r="G61" s="6" t="s">
        <v>229</v>
      </c>
      <c r="H61" s="7" t="s">
        <v>24</v>
      </c>
      <c r="I61" s="6" t="s">
        <v>51</v>
      </c>
      <c r="J61" s="5" t="s">
        <v>231</v>
      </c>
      <c r="K61" s="8" t="n">
        <v>0.5</v>
      </c>
      <c r="L61" s="9" t="n">
        <v>46235</v>
      </c>
      <c r="M61" s="9" t="n">
        <v>46235</v>
      </c>
      <c r="N61" s="6" t="n">
        <f aca="false">IF(L61="","",M61-L61+1)</f>
        <v>1</v>
      </c>
      <c r="O61" s="6" t="n">
        <f aca="false">IF(L61="","",L61-$S$2+1)</f>
        <v>10</v>
      </c>
      <c r="P61" s="5"/>
    </row>
    <row r="62" customFormat="false" ht="23.85" hidden="false" customHeight="false" outlineLevel="0" collapsed="false">
      <c r="A62" s="17" t="s">
        <v>278</v>
      </c>
      <c r="B62" s="18" t="s">
        <v>279</v>
      </c>
      <c r="C62" s="5" t="s">
        <v>280</v>
      </c>
      <c r="D62" s="17" t="s">
        <v>227</v>
      </c>
      <c r="E62" s="6" t="s">
        <v>228</v>
      </c>
      <c r="F62" s="5"/>
      <c r="G62" s="6" t="s">
        <v>229</v>
      </c>
      <c r="H62" s="13" t="s">
        <v>88</v>
      </c>
      <c r="I62" s="6" t="s">
        <v>51</v>
      </c>
      <c r="J62" s="5" t="s">
        <v>271</v>
      </c>
      <c r="K62" s="8" t="n">
        <v>0.5</v>
      </c>
      <c r="L62" s="9" t="n">
        <v>46236</v>
      </c>
      <c r="M62" s="9" t="n">
        <v>46236</v>
      </c>
      <c r="N62" s="6" t="n">
        <f aca="false">IF(L62="","",M62-L62+1)</f>
        <v>1</v>
      </c>
      <c r="O62" s="6" t="n">
        <f aca="false">IF(L62="","",L62-$S$2+1)</f>
        <v>11</v>
      </c>
      <c r="P62" s="5"/>
    </row>
    <row r="63" customFormat="false" ht="15" hidden="false" customHeight="false" outlineLevel="0" collapsed="false">
      <c r="A63" s="17" t="s">
        <v>281</v>
      </c>
      <c r="B63" s="18" t="s">
        <v>282</v>
      </c>
      <c r="C63" s="5" t="s">
        <v>283</v>
      </c>
      <c r="D63" s="17" t="s">
        <v>227</v>
      </c>
      <c r="E63" s="6" t="s">
        <v>228</v>
      </c>
      <c r="F63" s="5"/>
      <c r="G63" s="6" t="s">
        <v>229</v>
      </c>
      <c r="H63" s="13" t="s">
        <v>88</v>
      </c>
      <c r="I63" s="6" t="s">
        <v>51</v>
      </c>
      <c r="J63" s="5" t="s">
        <v>271</v>
      </c>
      <c r="K63" s="8" t="n">
        <v>0.25</v>
      </c>
      <c r="L63" s="9" t="n">
        <v>46236</v>
      </c>
      <c r="M63" s="9" t="n">
        <v>46236</v>
      </c>
      <c r="N63" s="6" t="n">
        <f aca="false">IF(L63="","",M63-L63+1)</f>
        <v>1</v>
      </c>
      <c r="O63" s="6" t="n">
        <f aca="false">IF(L63="","",L63-$S$2+1)</f>
        <v>11</v>
      </c>
      <c r="P63" s="5" t="s">
        <v>284</v>
      </c>
    </row>
    <row r="64" customFormat="false" ht="35.05" hidden="false" customHeight="false" outlineLevel="0" collapsed="false">
      <c r="A64" s="17" t="s">
        <v>285</v>
      </c>
      <c r="B64" s="18" t="s">
        <v>286</v>
      </c>
      <c r="C64" s="5" t="s">
        <v>287</v>
      </c>
      <c r="D64" s="17" t="s">
        <v>227</v>
      </c>
      <c r="E64" s="6" t="s">
        <v>228</v>
      </c>
      <c r="F64" s="5" t="s">
        <v>22</v>
      </c>
      <c r="G64" s="6" t="s">
        <v>229</v>
      </c>
      <c r="H64" s="13" t="s">
        <v>88</v>
      </c>
      <c r="I64" s="6" t="s">
        <v>63</v>
      </c>
      <c r="J64" s="5" t="s">
        <v>288</v>
      </c>
      <c r="K64" s="8" t="n">
        <v>2</v>
      </c>
      <c r="L64" s="9" t="n">
        <v>46240</v>
      </c>
      <c r="M64" s="9" t="n">
        <v>46243</v>
      </c>
      <c r="N64" s="6" t="n">
        <f aca="false">IF(L64="","",M64-L64+1)</f>
        <v>4</v>
      </c>
      <c r="O64" s="6" t="n">
        <f aca="false">IF(L64="","",L64-$S$2+1)</f>
        <v>15</v>
      </c>
      <c r="P64" s="5"/>
    </row>
    <row r="65" customFormat="false" ht="23.85" hidden="false" customHeight="false" outlineLevel="0" collapsed="false">
      <c r="A65" s="17" t="s">
        <v>289</v>
      </c>
      <c r="B65" s="18" t="s">
        <v>290</v>
      </c>
      <c r="C65" s="5" t="s">
        <v>291</v>
      </c>
      <c r="D65" s="17" t="s">
        <v>227</v>
      </c>
      <c r="E65" s="6" t="s">
        <v>228</v>
      </c>
      <c r="F65" s="5"/>
      <c r="G65" s="6" t="s">
        <v>229</v>
      </c>
      <c r="H65" s="16" t="s">
        <v>210</v>
      </c>
      <c r="I65" s="6" t="s">
        <v>51</v>
      </c>
      <c r="J65" s="5" t="s">
        <v>271</v>
      </c>
      <c r="K65" s="8" t="n">
        <v>0.5</v>
      </c>
      <c r="L65" s="9" t="n">
        <v>46244</v>
      </c>
      <c r="M65" s="9" t="n">
        <v>46245</v>
      </c>
      <c r="N65" s="6" t="n">
        <f aca="false">IF(L65="","",M65-L65+1)</f>
        <v>2</v>
      </c>
      <c r="O65" s="6" t="n">
        <f aca="false">IF(L65="","",L65-$S$2+1)</f>
        <v>19</v>
      </c>
      <c r="P65" s="5"/>
    </row>
    <row r="66" customFormat="false" ht="23.85" hidden="false" customHeight="false" outlineLevel="0" collapsed="false">
      <c r="A66" s="17" t="s">
        <v>292</v>
      </c>
      <c r="B66" s="18" t="s">
        <v>293</v>
      </c>
      <c r="C66" s="5" t="s">
        <v>294</v>
      </c>
      <c r="D66" s="17" t="s">
        <v>227</v>
      </c>
      <c r="E66" s="6" t="s">
        <v>228</v>
      </c>
      <c r="F66" s="5" t="s">
        <v>21</v>
      </c>
      <c r="G66" s="6" t="s">
        <v>34</v>
      </c>
      <c r="H66" s="7" t="s">
        <v>24</v>
      </c>
      <c r="I66" s="6" t="s">
        <v>51</v>
      </c>
      <c r="J66" s="5" t="s">
        <v>295</v>
      </c>
      <c r="K66" s="8" t="n">
        <v>0.5</v>
      </c>
      <c r="L66" s="9" t="n">
        <v>46236</v>
      </c>
      <c r="M66" s="9" t="n">
        <v>46236</v>
      </c>
      <c r="N66" s="6" t="n">
        <f aca="false">IF(L66="","",M66-L66+1)</f>
        <v>1</v>
      </c>
      <c r="O66" s="6" t="n">
        <f aca="false">IF(L66="","",L66-$S$2+1)</f>
        <v>11</v>
      </c>
      <c r="P66" s="5"/>
    </row>
    <row r="67" customFormat="false" ht="35.05" hidden="false" customHeight="false" outlineLevel="0" collapsed="false">
      <c r="A67" s="17" t="s">
        <v>296</v>
      </c>
      <c r="B67" s="18" t="s">
        <v>297</v>
      </c>
      <c r="C67" s="5" t="s">
        <v>298</v>
      </c>
      <c r="D67" s="17" t="s">
        <v>227</v>
      </c>
      <c r="E67" s="6" t="s">
        <v>59</v>
      </c>
      <c r="F67" s="5" t="s">
        <v>228</v>
      </c>
      <c r="G67" s="6" t="s">
        <v>229</v>
      </c>
      <c r="H67" s="7" t="s">
        <v>24</v>
      </c>
      <c r="I67" s="6" t="s">
        <v>51</v>
      </c>
      <c r="J67" s="5" t="s">
        <v>299</v>
      </c>
      <c r="K67" s="8" t="n">
        <v>0.5</v>
      </c>
      <c r="L67" s="9" t="n">
        <v>46237</v>
      </c>
      <c r="M67" s="9" t="n">
        <v>46237</v>
      </c>
      <c r="N67" s="6" t="n">
        <f aca="false">IF(L67="","",M67-L67+1)</f>
        <v>1</v>
      </c>
      <c r="O67" s="6" t="n">
        <f aca="false">IF(L67="","",L67-$S$2+1)</f>
        <v>12</v>
      </c>
      <c r="P67" s="5"/>
    </row>
    <row r="68" customFormat="false" ht="57.45" hidden="false" customHeight="false" outlineLevel="0" collapsed="false">
      <c r="A68" s="19" t="s">
        <v>300</v>
      </c>
      <c r="B68" s="20" t="s">
        <v>301</v>
      </c>
      <c r="C68" s="5" t="s">
        <v>302</v>
      </c>
      <c r="D68" s="19" t="s">
        <v>303</v>
      </c>
      <c r="E68" s="6" t="s">
        <v>22</v>
      </c>
      <c r="F68" s="5" t="s">
        <v>59</v>
      </c>
      <c r="G68" s="6" t="s">
        <v>304</v>
      </c>
      <c r="H68" s="7" t="s">
        <v>24</v>
      </c>
      <c r="I68" s="6" t="s">
        <v>25</v>
      </c>
      <c r="J68" s="5" t="s">
        <v>17</v>
      </c>
      <c r="K68" s="8" t="n">
        <v>0.5</v>
      </c>
      <c r="L68" s="9" t="n">
        <v>46226</v>
      </c>
      <c r="M68" s="9" t="n">
        <v>46227</v>
      </c>
      <c r="N68" s="6" t="n">
        <f aca="false">IF(L68="","",M68-L68+1)</f>
        <v>2</v>
      </c>
      <c r="O68" s="6" t="n">
        <f aca="false">IF(L68="","",L68-$S$2+1)</f>
        <v>1</v>
      </c>
      <c r="P68" s="5" t="s">
        <v>305</v>
      </c>
    </row>
    <row r="69" customFormat="false" ht="23.85" hidden="false" customHeight="false" outlineLevel="0" collapsed="false">
      <c r="A69" s="19" t="s">
        <v>306</v>
      </c>
      <c r="B69" s="20" t="s">
        <v>307</v>
      </c>
      <c r="C69" s="5" t="s">
        <v>308</v>
      </c>
      <c r="D69" s="19" t="s">
        <v>303</v>
      </c>
      <c r="E69" s="6" t="s">
        <v>22</v>
      </c>
      <c r="F69" s="5"/>
      <c r="G69" s="6" t="s">
        <v>304</v>
      </c>
      <c r="H69" s="7" t="s">
        <v>24</v>
      </c>
      <c r="I69" s="6" t="s">
        <v>25</v>
      </c>
      <c r="J69" s="5"/>
      <c r="K69" s="8" t="n">
        <v>0.5</v>
      </c>
      <c r="L69" s="9" t="n">
        <v>46226</v>
      </c>
      <c r="M69" s="9" t="n">
        <v>46227</v>
      </c>
      <c r="N69" s="6" t="n">
        <f aca="false">IF(L69="","",M69-L69+1)</f>
        <v>2</v>
      </c>
      <c r="O69" s="6" t="n">
        <f aca="false">IF(L69="","",L69-$S$2+1)</f>
        <v>1</v>
      </c>
      <c r="P69" s="5" t="s">
        <v>309</v>
      </c>
    </row>
    <row r="70" customFormat="false" ht="46.25" hidden="false" customHeight="false" outlineLevel="0" collapsed="false">
      <c r="A70" s="19" t="s">
        <v>310</v>
      </c>
      <c r="B70" s="20" t="s">
        <v>311</v>
      </c>
      <c r="C70" s="5" t="s">
        <v>312</v>
      </c>
      <c r="D70" s="19" t="s">
        <v>303</v>
      </c>
      <c r="E70" s="6" t="s">
        <v>22</v>
      </c>
      <c r="F70" s="5" t="s">
        <v>99</v>
      </c>
      <c r="G70" s="6" t="s">
        <v>313</v>
      </c>
      <c r="H70" s="7" t="s">
        <v>24</v>
      </c>
      <c r="I70" s="6" t="s">
        <v>46</v>
      </c>
      <c r="J70" s="5" t="s">
        <v>306</v>
      </c>
      <c r="K70" s="8" t="n">
        <v>1.5</v>
      </c>
      <c r="L70" s="9" t="n">
        <v>46228</v>
      </c>
      <c r="M70" s="9" t="n">
        <v>46230</v>
      </c>
      <c r="N70" s="6" t="n">
        <f aca="false">IF(L70="","",M70-L70+1)</f>
        <v>3</v>
      </c>
      <c r="O70" s="6" t="n">
        <f aca="false">IF(L70="","",L70-$S$2+1)</f>
        <v>3</v>
      </c>
      <c r="P70" s="5" t="s">
        <v>314</v>
      </c>
    </row>
    <row r="71" customFormat="false" ht="23.85" hidden="false" customHeight="false" outlineLevel="0" collapsed="false">
      <c r="A71" s="19" t="s">
        <v>315</v>
      </c>
      <c r="B71" s="20" t="s">
        <v>316</v>
      </c>
      <c r="C71" s="5" t="s">
        <v>317</v>
      </c>
      <c r="D71" s="19" t="s">
        <v>303</v>
      </c>
      <c r="E71" s="6" t="s">
        <v>59</v>
      </c>
      <c r="F71" s="5"/>
      <c r="G71" s="6" t="s">
        <v>313</v>
      </c>
      <c r="H71" s="7" t="s">
        <v>24</v>
      </c>
      <c r="I71" s="6" t="s">
        <v>25</v>
      </c>
      <c r="J71" s="5" t="s">
        <v>253</v>
      </c>
      <c r="K71" s="8" t="n">
        <v>1</v>
      </c>
      <c r="L71" s="9" t="n">
        <v>46228</v>
      </c>
      <c r="M71" s="9" t="n">
        <v>46229</v>
      </c>
      <c r="N71" s="6" t="n">
        <f aca="false">IF(L71="","",M71-L71+1)</f>
        <v>2</v>
      </c>
      <c r="O71" s="6" t="n">
        <f aca="false">IF(L71="","",L71-$S$2+1)</f>
        <v>3</v>
      </c>
      <c r="P71" s="5" t="s">
        <v>318</v>
      </c>
    </row>
    <row r="72" customFormat="false" ht="23.85" hidden="false" customHeight="false" outlineLevel="0" collapsed="false">
      <c r="A72" s="19" t="s">
        <v>319</v>
      </c>
      <c r="B72" s="20" t="s">
        <v>320</v>
      </c>
      <c r="C72" s="5" t="s">
        <v>321</v>
      </c>
      <c r="D72" s="19" t="s">
        <v>303</v>
      </c>
      <c r="E72" s="6" t="s">
        <v>59</v>
      </c>
      <c r="F72" s="5"/>
      <c r="G72" s="6" t="s">
        <v>313</v>
      </c>
      <c r="H72" s="7" t="s">
        <v>24</v>
      </c>
      <c r="I72" s="6" t="s">
        <v>46</v>
      </c>
      <c r="J72" s="5" t="s">
        <v>322</v>
      </c>
      <c r="K72" s="8" t="n">
        <v>1.5</v>
      </c>
      <c r="L72" s="9" t="n">
        <v>46230</v>
      </c>
      <c r="M72" s="9" t="n">
        <v>46231</v>
      </c>
      <c r="N72" s="6" t="n">
        <f aca="false">IF(L72="","",M72-L72+1)</f>
        <v>2</v>
      </c>
      <c r="O72" s="6" t="n">
        <f aca="false">IF(L72="","",L72-$S$2+1)</f>
        <v>5</v>
      </c>
      <c r="P72" s="5"/>
    </row>
    <row r="73" customFormat="false" ht="35.05" hidden="false" customHeight="false" outlineLevel="0" collapsed="false">
      <c r="A73" s="19" t="s">
        <v>323</v>
      </c>
      <c r="B73" s="20" t="s">
        <v>324</v>
      </c>
      <c r="C73" s="5" t="s">
        <v>325</v>
      </c>
      <c r="D73" s="19" t="s">
        <v>303</v>
      </c>
      <c r="E73" s="6" t="s">
        <v>228</v>
      </c>
      <c r="F73" s="5" t="s">
        <v>59</v>
      </c>
      <c r="G73" s="6" t="s">
        <v>313</v>
      </c>
      <c r="H73" s="7" t="s">
        <v>24</v>
      </c>
      <c r="I73" s="6" t="s">
        <v>46</v>
      </c>
      <c r="J73" s="5" t="s">
        <v>326</v>
      </c>
      <c r="K73" s="8" t="n">
        <v>2</v>
      </c>
      <c r="L73" s="9" t="n">
        <v>46231</v>
      </c>
      <c r="M73" s="9" t="n">
        <v>46233</v>
      </c>
      <c r="N73" s="6" t="n">
        <f aca="false">IF(L73="","",M73-L73+1)</f>
        <v>3</v>
      </c>
      <c r="O73" s="6" t="n">
        <f aca="false">IF(L73="","",L73-$S$2+1)</f>
        <v>6</v>
      </c>
      <c r="P73" s="5" t="s">
        <v>327</v>
      </c>
    </row>
    <row r="74" customFormat="false" ht="35.05" hidden="false" customHeight="false" outlineLevel="0" collapsed="false">
      <c r="A74" s="19" t="s">
        <v>328</v>
      </c>
      <c r="B74" s="20" t="s">
        <v>329</v>
      </c>
      <c r="C74" s="5" t="s">
        <v>330</v>
      </c>
      <c r="D74" s="19" t="s">
        <v>303</v>
      </c>
      <c r="E74" s="6" t="s">
        <v>228</v>
      </c>
      <c r="F74" s="5" t="s">
        <v>59</v>
      </c>
      <c r="G74" s="6" t="s">
        <v>157</v>
      </c>
      <c r="H74" s="7" t="s">
        <v>24</v>
      </c>
      <c r="I74" s="6" t="s">
        <v>46</v>
      </c>
      <c r="J74" s="5" t="s">
        <v>331</v>
      </c>
      <c r="K74" s="8" t="n">
        <v>1</v>
      </c>
      <c r="L74" s="9" t="n">
        <v>46233</v>
      </c>
      <c r="M74" s="9" t="n">
        <v>46234</v>
      </c>
      <c r="N74" s="6" t="n">
        <f aca="false">IF(L74="","",M74-L74+1)</f>
        <v>2</v>
      </c>
      <c r="O74" s="6" t="n">
        <f aca="false">IF(L74="","",L74-$S$2+1)</f>
        <v>8</v>
      </c>
      <c r="P74" s="5" t="s">
        <v>332</v>
      </c>
    </row>
    <row r="75" customFormat="false" ht="23.85" hidden="false" customHeight="false" outlineLevel="0" collapsed="false">
      <c r="A75" s="19" t="s">
        <v>163</v>
      </c>
      <c r="B75" s="20" t="s">
        <v>333</v>
      </c>
      <c r="C75" s="5" t="s">
        <v>334</v>
      </c>
      <c r="D75" s="19" t="s">
        <v>303</v>
      </c>
      <c r="E75" s="6" t="s">
        <v>22</v>
      </c>
      <c r="F75" s="5" t="s">
        <v>59</v>
      </c>
      <c r="G75" s="6" t="s">
        <v>313</v>
      </c>
      <c r="H75" s="7" t="s">
        <v>24</v>
      </c>
      <c r="I75" s="6" t="s">
        <v>46</v>
      </c>
      <c r="J75" s="5" t="s">
        <v>335</v>
      </c>
      <c r="K75" s="8" t="n">
        <v>1</v>
      </c>
      <c r="L75" s="9" t="n">
        <v>46234</v>
      </c>
      <c r="M75" s="9" t="n">
        <v>46235</v>
      </c>
      <c r="N75" s="6" t="n">
        <f aca="false">IF(L75="","",M75-L75+1)</f>
        <v>2</v>
      </c>
      <c r="O75" s="6" t="n">
        <f aca="false">IF(L75="","",L75-$S$2+1)</f>
        <v>9</v>
      </c>
      <c r="P75" s="5"/>
    </row>
    <row r="76" customFormat="false" ht="23.85" hidden="false" customHeight="false" outlineLevel="0" collapsed="false">
      <c r="A76" s="19" t="s">
        <v>336</v>
      </c>
      <c r="B76" s="20" t="s">
        <v>337</v>
      </c>
      <c r="C76" s="5" t="s">
        <v>338</v>
      </c>
      <c r="D76" s="19" t="s">
        <v>303</v>
      </c>
      <c r="E76" s="6" t="s">
        <v>22</v>
      </c>
      <c r="F76" s="5"/>
      <c r="G76" s="6" t="s">
        <v>229</v>
      </c>
      <c r="H76" s="7" t="s">
        <v>24</v>
      </c>
      <c r="I76" s="6" t="s">
        <v>51</v>
      </c>
      <c r="J76" s="5" t="s">
        <v>17</v>
      </c>
      <c r="K76" s="8" t="n">
        <v>0.5</v>
      </c>
      <c r="L76" s="9" t="n">
        <v>46232</v>
      </c>
      <c r="M76" s="9" t="n">
        <v>46232</v>
      </c>
      <c r="N76" s="6" t="n">
        <f aca="false">IF(L76="","",M76-L76+1)</f>
        <v>1</v>
      </c>
      <c r="O76" s="6" t="n">
        <f aca="false">IF(L76="","",L76-$S$2+1)</f>
        <v>7</v>
      </c>
      <c r="P76" s="5" t="s">
        <v>339</v>
      </c>
    </row>
    <row r="77" customFormat="false" ht="46.25" hidden="false" customHeight="false" outlineLevel="0" collapsed="false">
      <c r="A77" s="19" t="s">
        <v>340</v>
      </c>
      <c r="B77" s="20" t="s">
        <v>341</v>
      </c>
      <c r="C77" s="5" t="s">
        <v>342</v>
      </c>
      <c r="D77" s="19" t="s">
        <v>303</v>
      </c>
      <c r="E77" s="6" t="s">
        <v>22</v>
      </c>
      <c r="F77" s="5"/>
      <c r="G77" s="6" t="s">
        <v>313</v>
      </c>
      <c r="H77" s="7" t="s">
        <v>24</v>
      </c>
      <c r="I77" s="6" t="s">
        <v>51</v>
      </c>
      <c r="J77" s="5" t="s">
        <v>343</v>
      </c>
      <c r="K77" s="8" t="n">
        <v>2</v>
      </c>
      <c r="L77" s="9" t="n">
        <v>46237</v>
      </c>
      <c r="M77" s="9" t="n">
        <v>46239</v>
      </c>
      <c r="N77" s="6" t="n">
        <f aca="false">IF(L77="","",M77-L77+1)</f>
        <v>3</v>
      </c>
      <c r="O77" s="6" t="n">
        <f aca="false">IF(L77="","",L77-$S$2+1)</f>
        <v>12</v>
      </c>
      <c r="P77" s="5" t="s">
        <v>344</v>
      </c>
    </row>
    <row r="78" customFormat="false" ht="23.85" hidden="false" customHeight="false" outlineLevel="0" collapsed="false">
      <c r="A78" s="19" t="s">
        <v>345</v>
      </c>
      <c r="B78" s="20" t="s">
        <v>346</v>
      </c>
      <c r="C78" s="5" t="s">
        <v>347</v>
      </c>
      <c r="D78" s="19" t="s">
        <v>303</v>
      </c>
      <c r="E78" s="6" t="s">
        <v>22</v>
      </c>
      <c r="F78" s="5"/>
      <c r="G78" s="6" t="s">
        <v>313</v>
      </c>
      <c r="H78" s="7" t="s">
        <v>24</v>
      </c>
      <c r="I78" s="6" t="s">
        <v>51</v>
      </c>
      <c r="J78" s="5" t="s">
        <v>340</v>
      </c>
      <c r="K78" s="8" t="n">
        <v>1</v>
      </c>
      <c r="L78" s="9" t="n">
        <v>46239</v>
      </c>
      <c r="M78" s="9" t="n">
        <v>46240</v>
      </c>
      <c r="N78" s="6" t="n">
        <f aca="false">IF(L78="","",M78-L78+1)</f>
        <v>2</v>
      </c>
      <c r="O78" s="6" t="n">
        <f aca="false">IF(L78="","",L78-$S$2+1)</f>
        <v>14</v>
      </c>
      <c r="P78" s="5"/>
    </row>
    <row r="79" customFormat="false" ht="23.85" hidden="false" customHeight="false" outlineLevel="0" collapsed="false">
      <c r="A79" s="19" t="s">
        <v>348</v>
      </c>
      <c r="B79" s="20" t="s">
        <v>349</v>
      </c>
      <c r="C79" s="5" t="s">
        <v>350</v>
      </c>
      <c r="D79" s="19" t="s">
        <v>303</v>
      </c>
      <c r="E79" s="6" t="s">
        <v>59</v>
      </c>
      <c r="F79" s="5"/>
      <c r="G79" s="6" t="s">
        <v>313</v>
      </c>
      <c r="H79" s="7" t="s">
        <v>24</v>
      </c>
      <c r="I79" s="6" t="s">
        <v>51</v>
      </c>
      <c r="J79" s="5" t="s">
        <v>351</v>
      </c>
      <c r="K79" s="8" t="n">
        <v>2.5</v>
      </c>
      <c r="L79" s="9" t="n">
        <v>46237</v>
      </c>
      <c r="M79" s="9" t="n">
        <v>46240</v>
      </c>
      <c r="N79" s="6" t="n">
        <f aca="false">IF(L79="","",M79-L79+1)</f>
        <v>4</v>
      </c>
      <c r="O79" s="6" t="n">
        <f aca="false">IF(L79="","",L79-$S$2+1)</f>
        <v>12</v>
      </c>
      <c r="P79" s="5"/>
    </row>
    <row r="80" customFormat="false" ht="23.85" hidden="false" customHeight="false" outlineLevel="0" collapsed="false">
      <c r="A80" s="19" t="s">
        <v>352</v>
      </c>
      <c r="B80" s="20" t="s">
        <v>353</v>
      </c>
      <c r="C80" s="5" t="s">
        <v>354</v>
      </c>
      <c r="D80" s="19" t="s">
        <v>303</v>
      </c>
      <c r="E80" s="6" t="s">
        <v>228</v>
      </c>
      <c r="F80" s="5" t="s">
        <v>22</v>
      </c>
      <c r="G80" s="6" t="s">
        <v>313</v>
      </c>
      <c r="H80" s="7" t="s">
        <v>24</v>
      </c>
      <c r="I80" s="6" t="s">
        <v>51</v>
      </c>
      <c r="J80" s="5" t="s">
        <v>355</v>
      </c>
      <c r="K80" s="8" t="n">
        <v>2</v>
      </c>
      <c r="L80" s="9" t="n">
        <v>46237</v>
      </c>
      <c r="M80" s="9" t="n">
        <v>46239</v>
      </c>
      <c r="N80" s="6" t="n">
        <f aca="false">IF(L80="","",M80-L80+1)</f>
        <v>3</v>
      </c>
      <c r="O80" s="6" t="n">
        <f aca="false">IF(L80="","",L80-$S$2+1)</f>
        <v>12</v>
      </c>
      <c r="P80" s="5"/>
    </row>
    <row r="81" customFormat="false" ht="23.85" hidden="false" customHeight="false" outlineLevel="0" collapsed="false">
      <c r="A81" s="19" t="s">
        <v>356</v>
      </c>
      <c r="B81" s="20" t="s">
        <v>357</v>
      </c>
      <c r="C81" s="5" t="s">
        <v>358</v>
      </c>
      <c r="D81" s="19" t="s">
        <v>303</v>
      </c>
      <c r="E81" s="6" t="s">
        <v>228</v>
      </c>
      <c r="F81" s="5"/>
      <c r="G81" s="6" t="s">
        <v>313</v>
      </c>
      <c r="H81" s="13" t="s">
        <v>88</v>
      </c>
      <c r="I81" s="6" t="s">
        <v>51</v>
      </c>
      <c r="J81" s="5" t="s">
        <v>359</v>
      </c>
      <c r="K81" s="8" t="n">
        <v>1</v>
      </c>
      <c r="L81" s="9" t="n">
        <v>46241</v>
      </c>
      <c r="M81" s="9" t="n">
        <v>46242</v>
      </c>
      <c r="N81" s="6" t="n">
        <f aca="false">IF(L81="","",M81-L81+1)</f>
        <v>2</v>
      </c>
      <c r="O81" s="6" t="n">
        <f aca="false">IF(L81="","",L81-$S$2+1)</f>
        <v>16</v>
      </c>
      <c r="P81" s="5"/>
    </row>
    <row r="82" customFormat="false" ht="35.05" hidden="false" customHeight="false" outlineLevel="0" collapsed="false">
      <c r="A82" s="19" t="s">
        <v>360</v>
      </c>
      <c r="B82" s="20" t="s">
        <v>361</v>
      </c>
      <c r="C82" s="5" t="s">
        <v>362</v>
      </c>
      <c r="D82" s="19" t="s">
        <v>303</v>
      </c>
      <c r="E82" s="6" t="s">
        <v>22</v>
      </c>
      <c r="F82" s="5" t="s">
        <v>363</v>
      </c>
      <c r="G82" s="6" t="s">
        <v>313</v>
      </c>
      <c r="H82" s="7" t="s">
        <v>24</v>
      </c>
      <c r="I82" s="6" t="s">
        <v>51</v>
      </c>
      <c r="J82" s="5" t="s">
        <v>364</v>
      </c>
      <c r="K82" s="8" t="n">
        <v>2</v>
      </c>
      <c r="L82" s="9" t="n">
        <v>46241</v>
      </c>
      <c r="M82" s="9" t="n">
        <v>46242</v>
      </c>
      <c r="N82" s="6" t="n">
        <f aca="false">IF(L82="","",M82-L82+1)</f>
        <v>2</v>
      </c>
      <c r="O82" s="6" t="n">
        <f aca="false">IF(L82="","",L82-$S$2+1)</f>
        <v>16</v>
      </c>
      <c r="P82" s="5"/>
    </row>
    <row r="83" customFormat="false" ht="35.05" hidden="false" customHeight="false" outlineLevel="0" collapsed="false">
      <c r="A83" s="19" t="s">
        <v>365</v>
      </c>
      <c r="B83" s="20" t="s">
        <v>366</v>
      </c>
      <c r="C83" s="5" t="s">
        <v>367</v>
      </c>
      <c r="D83" s="19" t="s">
        <v>303</v>
      </c>
      <c r="E83" s="6" t="s">
        <v>22</v>
      </c>
      <c r="F83" s="5" t="s">
        <v>99</v>
      </c>
      <c r="G83" s="6" t="s">
        <v>157</v>
      </c>
      <c r="H83" s="7" t="s">
        <v>24</v>
      </c>
      <c r="I83" s="6" t="s">
        <v>51</v>
      </c>
      <c r="J83" s="5" t="s">
        <v>368</v>
      </c>
      <c r="K83" s="8" t="n">
        <v>1</v>
      </c>
      <c r="L83" s="9" t="n">
        <v>46243</v>
      </c>
      <c r="M83" s="9" t="n">
        <v>46243</v>
      </c>
      <c r="N83" s="6" t="n">
        <f aca="false">IF(L83="","",M83-L83+1)</f>
        <v>1</v>
      </c>
      <c r="O83" s="6" t="n">
        <f aca="false">IF(L83="","",L83-$S$2+1)</f>
        <v>18</v>
      </c>
      <c r="P83" s="5"/>
    </row>
    <row r="84" customFormat="false" ht="23.85" hidden="false" customHeight="false" outlineLevel="0" collapsed="false">
      <c r="A84" s="19" t="s">
        <v>369</v>
      </c>
      <c r="B84" s="20" t="s">
        <v>370</v>
      </c>
      <c r="C84" s="5" t="s">
        <v>371</v>
      </c>
      <c r="D84" s="19" t="s">
        <v>303</v>
      </c>
      <c r="E84" s="6" t="s">
        <v>228</v>
      </c>
      <c r="F84" s="5" t="s">
        <v>22</v>
      </c>
      <c r="G84" s="6" t="s">
        <v>313</v>
      </c>
      <c r="H84" s="13" t="s">
        <v>88</v>
      </c>
      <c r="I84" s="6" t="s">
        <v>63</v>
      </c>
      <c r="J84" s="5" t="s">
        <v>372</v>
      </c>
      <c r="K84" s="8" t="n">
        <v>2</v>
      </c>
      <c r="L84" s="9" t="n">
        <v>46244</v>
      </c>
      <c r="M84" s="9" t="n">
        <v>46247</v>
      </c>
      <c r="N84" s="6" t="n">
        <f aca="false">IF(L84="","",M84-L84+1)</f>
        <v>4</v>
      </c>
      <c r="O84" s="6" t="n">
        <f aca="false">IF(L84="","",L84-$S$2+1)</f>
        <v>19</v>
      </c>
      <c r="P84" s="5"/>
    </row>
    <row r="85" customFormat="false" ht="23.85" hidden="false" customHeight="false" outlineLevel="0" collapsed="false">
      <c r="A85" s="19" t="s">
        <v>373</v>
      </c>
      <c r="B85" s="20" t="s">
        <v>374</v>
      </c>
      <c r="C85" s="5" t="s">
        <v>375</v>
      </c>
      <c r="D85" s="19" t="s">
        <v>303</v>
      </c>
      <c r="E85" s="6" t="s">
        <v>22</v>
      </c>
      <c r="F85" s="5"/>
      <c r="G85" s="6" t="s">
        <v>313</v>
      </c>
      <c r="H85" s="13" t="s">
        <v>88</v>
      </c>
      <c r="I85" s="6"/>
      <c r="J85" s="5"/>
      <c r="K85" s="8" t="n">
        <v>2</v>
      </c>
      <c r="L85" s="9" t="n">
        <v>46237</v>
      </c>
      <c r="M85" s="9" t="n">
        <v>46253</v>
      </c>
      <c r="N85" s="6" t="n">
        <f aca="false">IF(L85="","",M85-L85+1)</f>
        <v>17</v>
      </c>
      <c r="O85" s="6" t="n">
        <f aca="false">IF(L85="","",L85-$S$2+1)</f>
        <v>12</v>
      </c>
      <c r="P85" s="5" t="s">
        <v>376</v>
      </c>
    </row>
    <row r="86" customFormat="false" ht="23.85" hidden="false" customHeight="false" outlineLevel="0" collapsed="false">
      <c r="A86" s="21" t="s">
        <v>377</v>
      </c>
      <c r="B86" s="22" t="s">
        <v>378</v>
      </c>
      <c r="C86" s="5" t="s">
        <v>379</v>
      </c>
      <c r="D86" s="23" t="s">
        <v>380</v>
      </c>
      <c r="E86" s="6" t="s">
        <v>381</v>
      </c>
      <c r="F86" s="5"/>
      <c r="G86" s="6" t="s">
        <v>380</v>
      </c>
      <c r="H86" s="7" t="s">
        <v>24</v>
      </c>
      <c r="I86" s="6" t="s">
        <v>25</v>
      </c>
      <c r="J86" s="5" t="s">
        <v>382</v>
      </c>
      <c r="K86" s="8" t="n">
        <v>0</v>
      </c>
      <c r="L86" s="9" t="n">
        <v>46227</v>
      </c>
      <c r="M86" s="9" t="n">
        <v>46227</v>
      </c>
      <c r="N86" s="6" t="n">
        <f aca="false">IF(L86="","",M86-L86+1)</f>
        <v>1</v>
      </c>
      <c r="O86" s="6" t="n">
        <f aca="false">IF(L86="","",L86-$S$2+1)</f>
        <v>2</v>
      </c>
      <c r="P86" s="5"/>
    </row>
    <row r="87" customFormat="false" ht="23.85" hidden="false" customHeight="false" outlineLevel="0" collapsed="false">
      <c r="A87" s="21" t="s">
        <v>383</v>
      </c>
      <c r="B87" s="22" t="s">
        <v>384</v>
      </c>
      <c r="C87" s="5" t="s">
        <v>385</v>
      </c>
      <c r="D87" s="23" t="s">
        <v>380</v>
      </c>
      <c r="E87" s="6" t="s">
        <v>381</v>
      </c>
      <c r="F87" s="5"/>
      <c r="G87" s="6" t="s">
        <v>380</v>
      </c>
      <c r="H87" s="7" t="s">
        <v>24</v>
      </c>
      <c r="I87" s="6" t="s">
        <v>25</v>
      </c>
      <c r="J87" s="5" t="s">
        <v>66</v>
      </c>
      <c r="K87" s="8" t="n">
        <v>0</v>
      </c>
      <c r="L87" s="9" t="n">
        <v>46229</v>
      </c>
      <c r="M87" s="9" t="n">
        <v>46229</v>
      </c>
      <c r="N87" s="6" t="n">
        <f aca="false">IF(L87="","",M87-L87+1)</f>
        <v>1</v>
      </c>
      <c r="O87" s="6" t="n">
        <f aca="false">IF(L87="","",L87-$S$2+1)</f>
        <v>4</v>
      </c>
      <c r="P87" s="5"/>
    </row>
    <row r="88" customFormat="false" ht="23.85" hidden="false" customHeight="false" outlineLevel="0" collapsed="false">
      <c r="A88" s="21" t="s">
        <v>386</v>
      </c>
      <c r="B88" s="22" t="s">
        <v>387</v>
      </c>
      <c r="C88" s="5" t="s">
        <v>388</v>
      </c>
      <c r="D88" s="23" t="s">
        <v>380</v>
      </c>
      <c r="E88" s="6" t="s">
        <v>381</v>
      </c>
      <c r="F88" s="5"/>
      <c r="G88" s="6" t="s">
        <v>380</v>
      </c>
      <c r="H88" s="7" t="s">
        <v>24</v>
      </c>
      <c r="I88" s="6" t="s">
        <v>46</v>
      </c>
      <c r="J88" s="5" t="s">
        <v>389</v>
      </c>
      <c r="K88" s="8" t="n">
        <v>0</v>
      </c>
      <c r="L88" s="9" t="n">
        <v>46234</v>
      </c>
      <c r="M88" s="9" t="n">
        <v>46234</v>
      </c>
      <c r="N88" s="6" t="n">
        <f aca="false">IF(L88="","",M88-L88+1)</f>
        <v>1</v>
      </c>
      <c r="O88" s="6" t="n">
        <f aca="false">IF(L88="","",L88-$S$2+1)</f>
        <v>9</v>
      </c>
      <c r="P88" s="5"/>
    </row>
    <row r="89" customFormat="false" ht="23.85" hidden="false" customHeight="false" outlineLevel="0" collapsed="false">
      <c r="A89" s="21" t="s">
        <v>390</v>
      </c>
      <c r="B89" s="22" t="s">
        <v>391</v>
      </c>
      <c r="C89" s="5" t="s">
        <v>392</v>
      </c>
      <c r="D89" s="23" t="s">
        <v>380</v>
      </c>
      <c r="E89" s="6" t="s">
        <v>381</v>
      </c>
      <c r="F89" s="5"/>
      <c r="G89" s="6" t="s">
        <v>380</v>
      </c>
      <c r="H89" s="7" t="s">
        <v>24</v>
      </c>
      <c r="I89" s="6" t="s">
        <v>46</v>
      </c>
      <c r="J89" s="5" t="s">
        <v>393</v>
      </c>
      <c r="K89" s="8" t="n">
        <v>0</v>
      </c>
      <c r="L89" s="9" t="n">
        <v>46236</v>
      </c>
      <c r="M89" s="9" t="n">
        <v>46236</v>
      </c>
      <c r="N89" s="6" t="n">
        <f aca="false">IF(L89="","",M89-L89+1)</f>
        <v>1</v>
      </c>
      <c r="O89" s="6" t="n">
        <f aca="false">IF(L89="","",L89-$S$2+1)</f>
        <v>11</v>
      </c>
      <c r="P89" s="5"/>
    </row>
    <row r="90" customFormat="false" ht="23.85" hidden="false" customHeight="false" outlineLevel="0" collapsed="false">
      <c r="A90" s="21" t="s">
        <v>394</v>
      </c>
      <c r="B90" s="22" t="s">
        <v>395</v>
      </c>
      <c r="C90" s="5" t="s">
        <v>396</v>
      </c>
      <c r="D90" s="23" t="s">
        <v>380</v>
      </c>
      <c r="E90" s="6" t="s">
        <v>381</v>
      </c>
      <c r="F90" s="5"/>
      <c r="G90" s="6" t="s">
        <v>380</v>
      </c>
      <c r="H90" s="7" t="s">
        <v>24</v>
      </c>
      <c r="I90" s="6" t="s">
        <v>25</v>
      </c>
      <c r="J90" s="5" t="s">
        <v>80</v>
      </c>
      <c r="K90" s="8" t="n">
        <v>0</v>
      </c>
      <c r="L90" s="9" t="n">
        <v>46237</v>
      </c>
      <c r="M90" s="9" t="n">
        <v>46237</v>
      </c>
      <c r="N90" s="6" t="n">
        <f aca="false">IF(L90="","",M90-L90+1)</f>
        <v>1</v>
      </c>
      <c r="O90" s="6" t="n">
        <f aca="false">IF(L90="","",L90-$S$2+1)</f>
        <v>12</v>
      </c>
      <c r="P90" s="5" t="s">
        <v>397</v>
      </c>
    </row>
    <row r="91" customFormat="false" ht="23.85" hidden="false" customHeight="false" outlineLevel="0" collapsed="false">
      <c r="A91" s="21" t="s">
        <v>398</v>
      </c>
      <c r="B91" s="22" t="s">
        <v>399</v>
      </c>
      <c r="C91" s="5" t="s">
        <v>400</v>
      </c>
      <c r="D91" s="23" t="s">
        <v>380</v>
      </c>
      <c r="E91" s="6" t="s">
        <v>381</v>
      </c>
      <c r="F91" s="5"/>
      <c r="G91" s="6" t="s">
        <v>380</v>
      </c>
      <c r="H91" s="7" t="s">
        <v>24</v>
      </c>
      <c r="I91" s="6" t="s">
        <v>51</v>
      </c>
      <c r="J91" s="5" t="s">
        <v>365</v>
      </c>
      <c r="K91" s="8" t="n">
        <v>0</v>
      </c>
      <c r="L91" s="9" t="n">
        <v>46243</v>
      </c>
      <c r="M91" s="9" t="n">
        <v>46243</v>
      </c>
      <c r="N91" s="6" t="n">
        <f aca="false">IF(L91="","",M91-L91+1)</f>
        <v>1</v>
      </c>
      <c r="O91" s="6" t="n">
        <f aca="false">IF(L91="","",L91-$S$2+1)</f>
        <v>18</v>
      </c>
      <c r="P91" s="5"/>
    </row>
    <row r="92" customFormat="false" ht="23.85" hidden="false" customHeight="false" outlineLevel="0" collapsed="false">
      <c r="A92" s="21" t="s">
        <v>401</v>
      </c>
      <c r="B92" s="22" t="s">
        <v>402</v>
      </c>
      <c r="C92" s="5" t="s">
        <v>403</v>
      </c>
      <c r="D92" s="23" t="s">
        <v>380</v>
      </c>
      <c r="E92" s="6" t="s">
        <v>381</v>
      </c>
      <c r="F92" s="5"/>
      <c r="G92" s="6" t="s">
        <v>380</v>
      </c>
      <c r="H92" s="7" t="s">
        <v>24</v>
      </c>
      <c r="I92" s="6" t="s">
        <v>51</v>
      </c>
      <c r="J92" s="5" t="s">
        <v>188</v>
      </c>
      <c r="K92" s="8" t="n">
        <v>0</v>
      </c>
      <c r="L92" s="9" t="n">
        <v>46247</v>
      </c>
      <c r="M92" s="9" t="n">
        <v>46247</v>
      </c>
      <c r="N92" s="6" t="n">
        <f aca="false">IF(L92="","",M92-L92+1)</f>
        <v>1</v>
      </c>
      <c r="O92" s="6" t="n">
        <f aca="false">IF(L92="","",L92-$S$2+1)</f>
        <v>22</v>
      </c>
      <c r="P92" s="5" t="s">
        <v>404</v>
      </c>
    </row>
    <row r="93" customFormat="false" ht="23.85" hidden="false" customHeight="false" outlineLevel="0" collapsed="false">
      <c r="A93" s="21" t="s">
        <v>405</v>
      </c>
      <c r="B93" s="22" t="s">
        <v>406</v>
      </c>
      <c r="C93" s="5" t="s">
        <v>407</v>
      </c>
      <c r="D93" s="23" t="s">
        <v>380</v>
      </c>
      <c r="E93" s="6" t="s">
        <v>381</v>
      </c>
      <c r="F93" s="5"/>
      <c r="G93" s="6" t="s">
        <v>380</v>
      </c>
      <c r="H93" s="7" t="s">
        <v>24</v>
      </c>
      <c r="I93" s="6" t="s">
        <v>51</v>
      </c>
      <c r="J93" s="5" t="s">
        <v>408</v>
      </c>
      <c r="K93" s="8" t="n">
        <v>0</v>
      </c>
      <c r="L93" s="9" t="n">
        <v>46250</v>
      </c>
      <c r="M93" s="9" t="n">
        <v>46250</v>
      </c>
      <c r="N93" s="6" t="n">
        <f aca="false">IF(L93="","",M93-L93+1)</f>
        <v>1</v>
      </c>
      <c r="O93" s="6" t="n">
        <f aca="false">IF(L93="","",L93-$S$2+1)</f>
        <v>25</v>
      </c>
      <c r="P93" s="5"/>
    </row>
    <row r="94" customFormat="false" ht="15" hidden="false" customHeight="false" outlineLevel="0" collapsed="false">
      <c r="A94" s="21" t="s">
        <v>409</v>
      </c>
      <c r="B94" s="22" t="s">
        <v>410</v>
      </c>
      <c r="C94" s="5" t="s">
        <v>411</v>
      </c>
      <c r="D94" s="23" t="s">
        <v>380</v>
      </c>
      <c r="E94" s="6" t="s">
        <v>381</v>
      </c>
      <c r="F94" s="5"/>
      <c r="G94" s="6" t="s">
        <v>380</v>
      </c>
      <c r="H94" s="13" t="s">
        <v>88</v>
      </c>
      <c r="I94" s="6" t="s">
        <v>63</v>
      </c>
      <c r="J94" s="5" t="s">
        <v>201</v>
      </c>
      <c r="K94" s="8" t="n">
        <v>0</v>
      </c>
      <c r="L94" s="9" t="n">
        <v>46252</v>
      </c>
      <c r="M94" s="9" t="n">
        <v>46252</v>
      </c>
      <c r="N94" s="6" t="n">
        <f aca="false">IF(L94="","",M94-L94+1)</f>
        <v>1</v>
      </c>
      <c r="O94" s="6" t="n">
        <f aca="false">IF(L94="","",L94-$S$2+1)</f>
        <v>27</v>
      </c>
      <c r="P94" s="5"/>
    </row>
    <row r="95" customFormat="false" ht="15" hidden="false" customHeight="false" outlineLevel="0" collapsed="false">
      <c r="A95" s="21" t="s">
        <v>412</v>
      </c>
      <c r="B95" s="22" t="s">
        <v>413</v>
      </c>
      <c r="C95" s="5" t="s">
        <v>414</v>
      </c>
      <c r="D95" s="23" t="s">
        <v>380</v>
      </c>
      <c r="E95" s="6" t="s">
        <v>381</v>
      </c>
      <c r="F95" s="5"/>
      <c r="G95" s="6" t="s">
        <v>380</v>
      </c>
      <c r="H95" s="7" t="s">
        <v>24</v>
      </c>
      <c r="I95" s="6"/>
      <c r="J95" s="5" t="s">
        <v>415</v>
      </c>
      <c r="K95" s="8" t="n">
        <v>0</v>
      </c>
      <c r="L95" s="9" t="n">
        <v>46253</v>
      </c>
      <c r="M95" s="9" t="n">
        <v>46253</v>
      </c>
      <c r="N95" s="6" t="n">
        <f aca="false">IF(L95="","",M95-L95+1)</f>
        <v>1</v>
      </c>
      <c r="O95" s="6" t="n">
        <f aca="false">IF(L95="","",L95-$S$2+1)</f>
        <v>28</v>
      </c>
      <c r="P95" s="5" t="s">
        <v>397</v>
      </c>
    </row>
  </sheetData>
  <autoFilter ref="A1:P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17.35" hidden="false" customHeight="false" outlineLevel="0" collapsed="false">
      <c r="A1" s="24" t="s">
        <v>416</v>
      </c>
    </row>
    <row r="3" customFormat="false" ht="15" hidden="false" customHeight="false" outlineLevel="0" collapsed="false">
      <c r="A3" s="25" t="s">
        <v>417</v>
      </c>
    </row>
    <row r="4" customFormat="false" ht="15" hidden="false" customHeight="false" outlineLevel="0" collapsed="false">
      <c r="A4" s="26" t="s">
        <v>0</v>
      </c>
      <c r="B4" s="27" t="s">
        <v>418</v>
      </c>
    </row>
    <row r="5" customFormat="false" ht="15" hidden="false" customHeight="false" outlineLevel="0" collapsed="false">
      <c r="A5" s="26" t="s">
        <v>1</v>
      </c>
      <c r="B5" s="27" t="s">
        <v>419</v>
      </c>
    </row>
    <row r="6" customFormat="false" ht="15" hidden="false" customHeight="false" outlineLevel="0" collapsed="false">
      <c r="A6" s="26" t="s">
        <v>420</v>
      </c>
      <c r="B6" s="27" t="s">
        <v>421</v>
      </c>
    </row>
    <row r="7" customFormat="false" ht="15" hidden="false" customHeight="false" outlineLevel="0" collapsed="false">
      <c r="A7" s="26" t="s">
        <v>10</v>
      </c>
      <c r="B7" s="27" t="s">
        <v>422</v>
      </c>
    </row>
    <row r="8" customFormat="false" ht="15" hidden="false" customHeight="false" outlineLevel="0" collapsed="false">
      <c r="A8" s="26" t="s">
        <v>423</v>
      </c>
      <c r="B8" s="27" t="s">
        <v>424</v>
      </c>
    </row>
    <row r="9" customFormat="false" ht="15" hidden="false" customHeight="false" outlineLevel="0" collapsed="false">
      <c r="A9" s="26" t="s">
        <v>13</v>
      </c>
      <c r="B9" s="27" t="s">
        <v>425</v>
      </c>
    </row>
    <row r="10" customFormat="false" ht="15" hidden="false" customHeight="false" outlineLevel="0" collapsed="false">
      <c r="A10" s="26" t="s">
        <v>14</v>
      </c>
      <c r="B10" s="27" t="s">
        <v>426</v>
      </c>
    </row>
    <row r="11" customFormat="false" ht="15" hidden="false" customHeight="false" outlineLevel="0" collapsed="false">
      <c r="A11" s="26" t="s">
        <v>9</v>
      </c>
      <c r="B11" s="27" t="s">
        <v>427</v>
      </c>
    </row>
    <row r="12" customFormat="false" ht="15" hidden="false" customHeight="false" outlineLevel="0" collapsed="false">
      <c r="A12" s="26" t="s">
        <v>15</v>
      </c>
      <c r="B12" s="27" t="s">
        <v>428</v>
      </c>
    </row>
    <row r="14" customFormat="false" ht="15" hidden="false" customHeight="false" outlineLevel="0" collapsed="false">
      <c r="A14" s="25" t="s">
        <v>429</v>
      </c>
    </row>
    <row r="15" customFormat="false" ht="15" hidden="false" customHeight="false" outlineLevel="0" collapsed="false">
      <c r="A15" s="26" t="s">
        <v>20</v>
      </c>
      <c r="B15" s="27" t="s">
        <v>430</v>
      </c>
    </row>
    <row r="16" customFormat="false" ht="15" hidden="false" customHeight="false" outlineLevel="0" collapsed="false">
      <c r="A16" s="26" t="s">
        <v>123</v>
      </c>
      <c r="B16" s="27" t="s">
        <v>431</v>
      </c>
    </row>
    <row r="17" customFormat="false" ht="15" hidden="false" customHeight="false" outlineLevel="0" collapsed="false">
      <c r="A17" s="26" t="s">
        <v>227</v>
      </c>
      <c r="B17" s="27" t="s">
        <v>432</v>
      </c>
    </row>
    <row r="18" customFormat="false" ht="15" hidden="false" customHeight="false" outlineLevel="0" collapsed="false">
      <c r="A18" s="26" t="s">
        <v>303</v>
      </c>
      <c r="B18" s="27" t="s">
        <v>433</v>
      </c>
    </row>
    <row r="19" customFormat="false" ht="15" hidden="false" customHeight="false" outlineLevel="0" collapsed="false">
      <c r="A19" s="26" t="s">
        <v>380</v>
      </c>
      <c r="B19" s="27" t="s">
        <v>434</v>
      </c>
    </row>
    <row r="21" customFormat="false" ht="15" hidden="false" customHeight="false" outlineLevel="0" collapsed="false">
      <c r="A21" s="25" t="s">
        <v>435</v>
      </c>
    </row>
    <row r="22" customFormat="false" ht="15" hidden="false" customHeight="false" outlineLevel="0" collapsed="false">
      <c r="A22" s="26" t="s">
        <v>34</v>
      </c>
      <c r="B22" s="27" t="s">
        <v>436</v>
      </c>
    </row>
    <row r="23" customFormat="false" ht="15" hidden="false" customHeight="false" outlineLevel="0" collapsed="false">
      <c r="A23" s="26" t="s">
        <v>229</v>
      </c>
      <c r="B23" s="27" t="s">
        <v>437</v>
      </c>
    </row>
    <row r="24" customFormat="false" ht="15" hidden="false" customHeight="false" outlineLevel="0" collapsed="false">
      <c r="A24" s="26" t="s">
        <v>313</v>
      </c>
      <c r="B24" s="27" t="s">
        <v>438</v>
      </c>
    </row>
    <row r="25" customFormat="false" ht="15" hidden="false" customHeight="false" outlineLevel="0" collapsed="false">
      <c r="A25" s="26" t="s">
        <v>124</v>
      </c>
      <c r="B25" s="27" t="s">
        <v>439</v>
      </c>
    </row>
    <row r="26" customFormat="false" ht="15" hidden="false" customHeight="false" outlineLevel="0" collapsed="false">
      <c r="A26" s="26" t="s">
        <v>157</v>
      </c>
      <c r="B26" s="27" t="s">
        <v>440</v>
      </c>
    </row>
    <row r="27" customFormat="false" ht="15" hidden="false" customHeight="false" outlineLevel="0" collapsed="false">
      <c r="A27" s="26" t="s">
        <v>23</v>
      </c>
      <c r="B27" s="27" t="s">
        <v>441</v>
      </c>
    </row>
    <row r="28" customFormat="false" ht="15" hidden="false" customHeight="false" outlineLevel="0" collapsed="false">
      <c r="A28" s="26" t="s">
        <v>304</v>
      </c>
      <c r="B28" s="27" t="s">
        <v>442</v>
      </c>
    </row>
    <row r="30" customFormat="false" ht="15" hidden="false" customHeight="false" outlineLevel="0" collapsed="false">
      <c r="A30" s="25" t="s">
        <v>443</v>
      </c>
    </row>
    <row r="31" customFormat="false" ht="15" hidden="false" customHeight="false" outlineLevel="0" collapsed="false">
      <c r="A31" s="26" t="s">
        <v>24</v>
      </c>
      <c r="B31" s="27" t="s">
        <v>444</v>
      </c>
    </row>
    <row r="32" customFormat="false" ht="15" hidden="false" customHeight="false" outlineLevel="0" collapsed="false">
      <c r="A32" s="26" t="s">
        <v>88</v>
      </c>
      <c r="B32" s="27" t="s">
        <v>445</v>
      </c>
    </row>
    <row r="33" customFormat="false" ht="15" hidden="false" customHeight="false" outlineLevel="0" collapsed="false">
      <c r="A33" s="26" t="s">
        <v>210</v>
      </c>
      <c r="B33" s="27" t="s">
        <v>446</v>
      </c>
    </row>
    <row r="35" customFormat="false" ht="15" hidden="false" customHeight="false" outlineLevel="0" collapsed="false">
      <c r="A35" s="25" t="s">
        <v>447</v>
      </c>
    </row>
    <row r="36" customFormat="false" ht="15" hidden="false" customHeight="false" outlineLevel="0" collapsed="false">
      <c r="A36" s="26" t="s">
        <v>25</v>
      </c>
      <c r="B36" s="27" t="s">
        <v>448</v>
      </c>
    </row>
    <row r="37" customFormat="false" ht="15" hidden="false" customHeight="false" outlineLevel="0" collapsed="false">
      <c r="A37" s="26" t="s">
        <v>46</v>
      </c>
      <c r="B37" s="27" t="s">
        <v>449</v>
      </c>
    </row>
    <row r="38" customFormat="false" ht="15" hidden="false" customHeight="false" outlineLevel="0" collapsed="false">
      <c r="A38" s="26" t="s">
        <v>51</v>
      </c>
      <c r="B38" s="27" t="s">
        <v>450</v>
      </c>
    </row>
    <row r="39" customFormat="false" ht="15" hidden="false" customHeight="false" outlineLevel="0" collapsed="false">
      <c r="A39" s="26" t="s">
        <v>63</v>
      </c>
      <c r="B39" s="27" t="s">
        <v>451</v>
      </c>
    </row>
    <row r="41" customFormat="false" ht="15" hidden="false" customHeight="false" outlineLevel="0" collapsed="false">
      <c r="A41" s="25" t="s">
        <v>452</v>
      </c>
    </row>
    <row r="42" customFormat="false" ht="15" hidden="false" customHeight="false" outlineLevel="0" collapsed="false">
      <c r="A42" s="26" t="s">
        <v>453</v>
      </c>
      <c r="B42" s="27" t="s">
        <v>454</v>
      </c>
    </row>
    <row r="43" customFormat="false" ht="15" hidden="false" customHeight="false" outlineLevel="0" collapsed="false">
      <c r="A43" s="26" t="s">
        <v>455</v>
      </c>
      <c r="B43" s="27" t="s">
        <v>456</v>
      </c>
    </row>
    <row r="44" customFormat="false" ht="23.85" hidden="false" customHeight="false" outlineLevel="0" collapsed="false">
      <c r="A44" s="26" t="s">
        <v>457</v>
      </c>
      <c r="B44" s="27" t="s">
        <v>458</v>
      </c>
    </row>
    <row r="45" customFormat="false" ht="23.85" hidden="false" customHeight="false" outlineLevel="0" collapsed="false">
      <c r="A45" s="26" t="s">
        <v>459</v>
      </c>
      <c r="B45" s="27" t="s">
        <v>460</v>
      </c>
    </row>
    <row r="46" customFormat="false" ht="15" hidden="false" customHeight="false" outlineLevel="0" collapsed="false">
      <c r="A46" s="26" t="s">
        <v>461</v>
      </c>
      <c r="B46" s="27" t="s">
        <v>462</v>
      </c>
    </row>
    <row r="47" customFormat="false" ht="15" hidden="false" customHeight="false" outlineLevel="0" collapsed="false">
      <c r="A47" s="26" t="s">
        <v>463</v>
      </c>
      <c r="B47" s="27" t="s">
        <v>464</v>
      </c>
    </row>
    <row r="48" customFormat="false" ht="15" hidden="false" customHeight="false" outlineLevel="0" collapsed="false">
      <c r="A48" s="26" t="s">
        <v>465</v>
      </c>
      <c r="B48" s="27" t="s">
        <v>466</v>
      </c>
    </row>
    <row r="50" customFormat="false" ht="15" hidden="false" customHeight="false" outlineLevel="0" collapsed="false">
      <c r="A50" s="25" t="s">
        <v>467</v>
      </c>
    </row>
    <row r="51" customFormat="false" ht="15" hidden="false" customHeight="false" outlineLevel="0" collapsed="false">
      <c r="A51" s="26" t="s">
        <v>468</v>
      </c>
      <c r="B51" s="27" t="s">
        <v>469</v>
      </c>
    </row>
    <row r="52" customFormat="false" ht="15" hidden="false" customHeight="false" outlineLevel="0" collapsed="false">
      <c r="A52" s="26" t="s">
        <v>470</v>
      </c>
      <c r="B52" s="27" t="s">
        <v>471</v>
      </c>
    </row>
    <row r="53" customFormat="false" ht="15" hidden="false" customHeight="false" outlineLevel="0" collapsed="false">
      <c r="A53" s="26" t="s">
        <v>472</v>
      </c>
      <c r="B53" s="27" t="s">
        <v>473</v>
      </c>
    </row>
    <row r="54" customFormat="false" ht="15" hidden="false" customHeight="false" outlineLevel="0" collapsed="false">
      <c r="A54" s="26" t="s">
        <v>474</v>
      </c>
      <c r="B54" s="27" t="s">
        <v>475</v>
      </c>
    </row>
    <row r="55" customFormat="false" ht="15" hidden="false" customHeight="false" outlineLevel="0" collapsed="false">
      <c r="A55" s="26" t="s">
        <v>476</v>
      </c>
      <c r="B55" s="27" t="s">
        <v>477</v>
      </c>
    </row>
    <row r="56" customFormat="false" ht="15" hidden="false" customHeight="false" outlineLevel="0" collapsed="false">
      <c r="A56" s="26" t="s">
        <v>478</v>
      </c>
      <c r="B56" s="27" t="s">
        <v>479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8" min="3" style="0" width="15"/>
  </cols>
  <sheetData>
    <row r="1" customFormat="false" ht="17.35" hidden="false" customHeight="false" outlineLevel="0" collapsed="false">
      <c r="A1" s="24" t="s">
        <v>480</v>
      </c>
    </row>
    <row r="2" customFormat="false" ht="15" hidden="false" customHeight="false" outlineLevel="0" collapsed="false">
      <c r="A2" s="12" t="s">
        <v>481</v>
      </c>
    </row>
    <row r="4" customFormat="false" ht="23.85" hidden="false" customHeight="false" outlineLevel="0" collapsed="false">
      <c r="A4" s="1" t="s">
        <v>482</v>
      </c>
      <c r="B4" s="1" t="s">
        <v>483</v>
      </c>
      <c r="C4" s="1" t="s">
        <v>484</v>
      </c>
      <c r="D4" s="1" t="s">
        <v>485</v>
      </c>
      <c r="E4" s="1" t="s">
        <v>486</v>
      </c>
      <c r="F4" s="1" t="s">
        <v>487</v>
      </c>
      <c r="G4" s="1" t="s">
        <v>488</v>
      </c>
      <c r="H4" s="1" t="s">
        <v>489</v>
      </c>
      <c r="I4" s="1" t="s">
        <v>490</v>
      </c>
    </row>
    <row r="5" customFormat="false" ht="15" hidden="false" customHeight="false" outlineLevel="0" collapsed="false">
      <c r="A5" s="28" t="s">
        <v>59</v>
      </c>
      <c r="B5" s="29" t="s">
        <v>491</v>
      </c>
      <c r="C5" s="30" t="n">
        <f aca="false">COUNTIF(WBS!$E$2:$E$95,A5)</f>
        <v>12</v>
      </c>
      <c r="D5" s="31" t="n">
        <f aca="false">SUMIF(WBS!$E$2:$E$95,A5,WBS!$K$2:$K$95)</f>
        <v>13.25</v>
      </c>
      <c r="E5" s="31" t="n">
        <f aca="false">SUMIF(WBS!$E$2:$E$95,"ALL",WBS!$K$2:$K$95)/$B$15</f>
        <v>1.41666666666667</v>
      </c>
      <c r="F5" s="31" t="n">
        <f aca="false">D5+E5</f>
        <v>14.6666666666667</v>
      </c>
      <c r="G5" s="31" t="n">
        <f aca="false">SUMIFS(WBS!$K$2:$K$95,WBS!$E$2:$E$95,A5,WBS!$H$2:$H$95,"P0")</f>
        <v>12</v>
      </c>
      <c r="H5" s="32" t="n">
        <f aca="false">F5/$B$14</f>
        <v>0.523809523809524</v>
      </c>
      <c r="I5" s="30" t="str">
        <f aca="false">IF(H5&gt;0.75,"OVERLOADED",IF(H5&gt;0.5,"Heavy",IF(H5&gt;0.3,"Balanced","Has float")))</f>
        <v>Heavy</v>
      </c>
    </row>
    <row r="6" customFormat="false" ht="15" hidden="false" customHeight="false" outlineLevel="0" collapsed="false">
      <c r="A6" s="28" t="s">
        <v>228</v>
      </c>
      <c r="B6" s="29" t="s">
        <v>492</v>
      </c>
      <c r="C6" s="30" t="n">
        <f aca="false">COUNTIF(WBS!$E$2:$E$95,A6)</f>
        <v>15</v>
      </c>
      <c r="D6" s="31" t="n">
        <f aca="false">SUMIF(WBS!$E$2:$E$95,A6,WBS!$K$2:$K$95)</f>
        <v>16.25</v>
      </c>
      <c r="E6" s="31" t="n">
        <f aca="false">SUMIF(WBS!$E$2:$E$95,"ALL",WBS!$K$2:$K$95)/$B$15</f>
        <v>1.41666666666667</v>
      </c>
      <c r="F6" s="31" t="n">
        <f aca="false">D6+E6</f>
        <v>17.6666666666667</v>
      </c>
      <c r="G6" s="31" t="n">
        <f aca="false">SUMIFS(WBS!$K$2:$K$95,WBS!$E$2:$E$95,A6,WBS!$H$2:$H$95,"P0")</f>
        <v>10</v>
      </c>
      <c r="H6" s="32" t="n">
        <f aca="false">F6/$B$14</f>
        <v>0.630952380952381</v>
      </c>
      <c r="I6" s="30" t="str">
        <f aca="false">IF(H6&gt;0.75,"OVERLOADED",IF(H6&gt;0.5,"Heavy",IF(H6&gt;0.3,"Balanced","Has float")))</f>
        <v>Heavy</v>
      </c>
    </row>
    <row r="7" customFormat="false" ht="15" hidden="false" customHeight="false" outlineLevel="0" collapsed="false">
      <c r="A7" s="28" t="s">
        <v>21</v>
      </c>
      <c r="B7" s="29" t="s">
        <v>493</v>
      </c>
      <c r="C7" s="30" t="n">
        <f aca="false">COUNTIF(WBS!$E$2:$E$95,A7)</f>
        <v>13</v>
      </c>
      <c r="D7" s="31" t="n">
        <f aca="false">SUMIF(WBS!$E$2:$E$95,A7,WBS!$K$2:$K$95)</f>
        <v>10</v>
      </c>
      <c r="E7" s="31" t="n">
        <f aca="false">SUMIF(WBS!$E$2:$E$95,"ALL",WBS!$K$2:$K$95)/$B$15</f>
        <v>1.41666666666667</v>
      </c>
      <c r="F7" s="31" t="n">
        <f aca="false">D7+E7</f>
        <v>11.4166666666667</v>
      </c>
      <c r="G7" s="31" t="n">
        <f aca="false">SUMIFS(WBS!$K$2:$K$95,WBS!$E$2:$E$95,A7,WBS!$H$2:$H$95,"P0")</f>
        <v>9</v>
      </c>
      <c r="H7" s="32" t="n">
        <f aca="false">F7/$B$14</f>
        <v>0.407738095238095</v>
      </c>
      <c r="I7" s="30" t="str">
        <f aca="false">IF(H7&gt;0.75,"OVERLOADED",IF(H7&gt;0.5,"Heavy",IF(H7&gt;0.3,"Balanced","Has float")))</f>
        <v>Balanced</v>
      </c>
    </row>
    <row r="8" customFormat="false" ht="15" hidden="false" customHeight="false" outlineLevel="0" collapsed="false">
      <c r="A8" s="28" t="s">
        <v>99</v>
      </c>
      <c r="B8" s="29" t="s">
        <v>494</v>
      </c>
      <c r="C8" s="30" t="n">
        <f aca="false">COUNTIF(WBS!$E$2:$E$95,A8)</f>
        <v>12</v>
      </c>
      <c r="D8" s="31" t="n">
        <f aca="false">SUMIF(WBS!$E$2:$E$95,A8,WBS!$K$2:$K$95)</f>
        <v>16</v>
      </c>
      <c r="E8" s="31" t="n">
        <f aca="false">SUMIF(WBS!$E$2:$E$95,"ALL",WBS!$K$2:$K$95)/$B$15</f>
        <v>1.41666666666667</v>
      </c>
      <c r="F8" s="31" t="n">
        <f aca="false">D8+E8</f>
        <v>17.4166666666667</v>
      </c>
      <c r="G8" s="31" t="n">
        <f aca="false">SUMIFS(WBS!$K$2:$K$95,WBS!$E$2:$E$95,A8,WBS!$H$2:$H$95,"P0")</f>
        <v>9.5</v>
      </c>
      <c r="H8" s="32" t="n">
        <f aca="false">F8/$B$14</f>
        <v>0.62202380952381</v>
      </c>
      <c r="I8" s="30" t="str">
        <f aca="false">IF(H8&gt;0.75,"OVERLOADED",IF(H8&gt;0.5,"Heavy",IF(H8&gt;0.3,"Balanced","Has float")))</f>
        <v>Heavy</v>
      </c>
    </row>
    <row r="9" customFormat="false" ht="15" hidden="false" customHeight="false" outlineLevel="0" collapsed="false">
      <c r="A9" s="28" t="s">
        <v>45</v>
      </c>
      <c r="B9" s="29" t="s">
        <v>495</v>
      </c>
      <c r="C9" s="30" t="n">
        <f aca="false">COUNTIF(WBS!$E$2:$E$95,A9)</f>
        <v>13</v>
      </c>
      <c r="D9" s="31" t="n">
        <f aca="false">SUMIF(WBS!$E$2:$E$95,A9,WBS!$K$2:$K$95)</f>
        <v>19</v>
      </c>
      <c r="E9" s="31" t="n">
        <f aca="false">SUMIF(WBS!$E$2:$E$95,"ALL",WBS!$K$2:$K$95)/$B$15</f>
        <v>1.41666666666667</v>
      </c>
      <c r="F9" s="31" t="n">
        <f aca="false">D9+E9</f>
        <v>20.4166666666667</v>
      </c>
      <c r="G9" s="31" t="n">
        <f aca="false">SUMIFS(WBS!$K$2:$K$95,WBS!$E$2:$E$95,A9,WBS!$H$2:$H$95,"P0")</f>
        <v>11.5</v>
      </c>
      <c r="H9" s="32" t="n">
        <f aca="false">F9/$B$14</f>
        <v>0.729166666666667</v>
      </c>
      <c r="I9" s="30" t="str">
        <f aca="false">IF(H9&gt;0.75,"OVERLOADED",IF(H9&gt;0.5,"Heavy",IF(H9&gt;0.3,"Balanced","Has float")))</f>
        <v>Heavy</v>
      </c>
    </row>
    <row r="10" customFormat="false" ht="15" hidden="false" customHeight="false" outlineLevel="0" collapsed="false">
      <c r="A10" s="28" t="s">
        <v>22</v>
      </c>
      <c r="B10" s="29" t="s">
        <v>496</v>
      </c>
      <c r="C10" s="30" t="n">
        <f aca="false">COUNTIF(WBS!$E$2:$E$95,A10)</f>
        <v>10</v>
      </c>
      <c r="D10" s="31" t="n">
        <f aca="false">SUMIF(WBS!$E$2:$E$95,A10,WBS!$K$2:$K$95)</f>
        <v>12</v>
      </c>
      <c r="E10" s="31" t="n">
        <f aca="false">SUMIF(WBS!$E$2:$E$95,"ALL",WBS!$K$2:$K$95)/$B$15</f>
        <v>1.41666666666667</v>
      </c>
      <c r="F10" s="31" t="n">
        <f aca="false">D10+E10</f>
        <v>13.4166666666667</v>
      </c>
      <c r="G10" s="31" t="n">
        <f aca="false">SUMIFS(WBS!$K$2:$K$95,WBS!$E$2:$E$95,A10,WBS!$H$2:$H$95,"P0")</f>
        <v>10</v>
      </c>
      <c r="H10" s="32" t="n">
        <f aca="false">F10/$B$14</f>
        <v>0.479166666666667</v>
      </c>
      <c r="I10" s="30" t="str">
        <f aca="false">IF(H10&gt;0.75,"OVERLOADED",IF(H10&gt;0.5,"Heavy",IF(H10&gt;0.3,"Balanced","Has float")))</f>
        <v>Balanced</v>
      </c>
    </row>
    <row r="11" customFormat="false" ht="15" hidden="false" customHeight="false" outlineLevel="0" collapsed="false">
      <c r="A11" s="2" t="s">
        <v>497</v>
      </c>
      <c r="C11" s="33" t="n">
        <f aca="false">SUM(C5:C10)</f>
        <v>75</v>
      </c>
      <c r="D11" s="34" t="n">
        <f aca="false">SUM(D5:D10)</f>
        <v>86.5</v>
      </c>
      <c r="E11" s="34" t="n">
        <f aca="false">SUM(E5:E10)</f>
        <v>8.5</v>
      </c>
      <c r="F11" s="34" t="n">
        <f aca="false">SUM(F5:F10)</f>
        <v>95</v>
      </c>
      <c r="G11" s="34" t="n">
        <f aca="false">SUM(G5:G10)</f>
        <v>62</v>
      </c>
    </row>
    <row r="13" customFormat="false" ht="15" hidden="false" customHeight="false" outlineLevel="0" collapsed="false">
      <c r="A13" s="2" t="s">
        <v>498</v>
      </c>
    </row>
    <row r="14" customFormat="false" ht="15" hidden="false" customHeight="false" outlineLevel="0" collapsed="false">
      <c r="B14" s="35" t="n">
        <v>28</v>
      </c>
      <c r="C14" s="12" t="s">
        <v>499</v>
      </c>
    </row>
    <row r="15" customFormat="false" ht="15" hidden="false" customHeight="false" outlineLevel="0" collapsed="false">
      <c r="A15" s="2" t="s">
        <v>500</v>
      </c>
      <c r="B15" s="35" t="n">
        <v>6</v>
      </c>
    </row>
    <row r="16" customFormat="false" ht="15" hidden="false" customHeight="false" outlineLevel="0" collapsed="false">
      <c r="A16" s="25" t="s">
        <v>501</v>
      </c>
    </row>
    <row r="17" customFormat="false" ht="57.75" hidden="false" customHeight="true" outlineLevel="0" collapsed="false">
      <c r="A17" s="26" t="s">
        <v>502</v>
      </c>
      <c r="B17" s="36" t="s">
        <v>503</v>
      </c>
      <c r="C17" s="36"/>
      <c r="D17" s="36"/>
      <c r="E17" s="36"/>
      <c r="F17" s="36"/>
      <c r="G17" s="36"/>
      <c r="H17" s="36"/>
      <c r="I17" s="36"/>
    </row>
    <row r="18" customFormat="false" ht="57.75" hidden="false" customHeight="true" outlineLevel="0" collapsed="false">
      <c r="A18" s="26" t="s">
        <v>504</v>
      </c>
      <c r="B18" s="36" t="s">
        <v>505</v>
      </c>
      <c r="C18" s="36"/>
      <c r="D18" s="36"/>
      <c r="E18" s="36"/>
      <c r="F18" s="36"/>
      <c r="G18" s="36"/>
      <c r="H18" s="36"/>
      <c r="I18" s="36"/>
    </row>
    <row r="19" customFormat="false" ht="57.75" hidden="false" customHeight="true" outlineLevel="0" collapsed="false">
      <c r="A19" s="26" t="s">
        <v>506</v>
      </c>
      <c r="B19" s="36" t="s">
        <v>507</v>
      </c>
      <c r="C19" s="36"/>
      <c r="D19" s="36"/>
      <c r="E19" s="36"/>
      <c r="F19" s="36"/>
      <c r="G19" s="36"/>
      <c r="H19" s="36"/>
      <c r="I19" s="36"/>
    </row>
    <row r="20" customFormat="false" ht="57.75" hidden="false" customHeight="true" outlineLevel="0" collapsed="false">
      <c r="A20" s="26" t="s">
        <v>508</v>
      </c>
      <c r="B20" s="36" t="s">
        <v>509</v>
      </c>
      <c r="C20" s="36"/>
      <c r="D20" s="36"/>
      <c r="E20" s="36"/>
      <c r="F20" s="36"/>
      <c r="G20" s="36"/>
      <c r="H20" s="36"/>
      <c r="I20" s="36"/>
    </row>
    <row r="21" customFormat="false" ht="57.75" hidden="false" customHeight="true" outlineLevel="0" collapsed="false">
      <c r="A21" s="26" t="s">
        <v>510</v>
      </c>
      <c r="B21" s="36" t="s">
        <v>511</v>
      </c>
      <c r="C21" s="36"/>
      <c r="D21" s="36"/>
      <c r="E21" s="36"/>
      <c r="F21" s="36"/>
      <c r="G21" s="36"/>
      <c r="H21" s="36"/>
      <c r="I21" s="36"/>
    </row>
  </sheetData>
  <mergeCells count="5">
    <mergeCell ref="B17:I17"/>
    <mergeCell ref="B18:I18"/>
    <mergeCell ref="B19:I19"/>
    <mergeCell ref="B20:I20"/>
    <mergeCell ref="B21: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2"/>
    <col collapsed="false" customWidth="true" hidden="false" outlineLevel="0" max="4" min="4" style="0" width="22"/>
    <col collapsed="false" customWidth="true" hidden="false" outlineLevel="0" max="6" min="5" style="0" width="10"/>
    <col collapsed="false" customWidth="true" hidden="false" outlineLevel="0" max="34" min="7" style="0" width="3.4"/>
  </cols>
  <sheetData>
    <row r="1" customFormat="false" ht="18.55" hidden="false" customHeight="false" outlineLevel="0" collapsed="false">
      <c r="A1" s="37" t="s">
        <v>512</v>
      </c>
    </row>
    <row r="2" customFormat="false" ht="15" hidden="false" customHeight="false" outlineLevel="0" collapsed="false">
      <c r="A2" s="12" t="s">
        <v>513</v>
      </c>
    </row>
    <row r="3" customFormat="false" ht="15" hidden="false" customHeight="false" outlineLevel="0" collapsed="false">
      <c r="G3" s="38" t="s">
        <v>514</v>
      </c>
      <c r="H3" s="38" t="s">
        <v>514</v>
      </c>
      <c r="I3" s="38" t="s">
        <v>514</v>
      </c>
      <c r="J3" s="38" t="s">
        <v>514</v>
      </c>
      <c r="K3" s="38" t="s">
        <v>514</v>
      </c>
      <c r="L3" s="38" t="s">
        <v>514</v>
      </c>
      <c r="M3" s="38" t="s">
        <v>514</v>
      </c>
      <c r="N3" s="38" t="s">
        <v>515</v>
      </c>
      <c r="O3" s="38" t="s">
        <v>515</v>
      </c>
      <c r="P3" s="38" t="s">
        <v>515</v>
      </c>
      <c r="Q3" s="38" t="s">
        <v>515</v>
      </c>
      <c r="R3" s="38" t="s">
        <v>515</v>
      </c>
      <c r="S3" s="38" t="s">
        <v>515</v>
      </c>
      <c r="T3" s="38" t="s">
        <v>515</v>
      </c>
      <c r="U3" s="38" t="s">
        <v>516</v>
      </c>
      <c r="V3" s="38" t="s">
        <v>516</v>
      </c>
      <c r="W3" s="38" t="s">
        <v>516</v>
      </c>
      <c r="X3" s="38" t="s">
        <v>516</v>
      </c>
      <c r="Y3" s="38" t="s">
        <v>516</v>
      </c>
      <c r="Z3" s="38" t="s">
        <v>516</v>
      </c>
      <c r="AA3" s="38" t="s">
        <v>516</v>
      </c>
      <c r="AB3" s="38" t="s">
        <v>517</v>
      </c>
      <c r="AC3" s="38" t="s">
        <v>517</v>
      </c>
      <c r="AD3" s="38" t="s">
        <v>517</v>
      </c>
      <c r="AE3" s="38" t="s">
        <v>517</v>
      </c>
      <c r="AF3" s="38" t="s">
        <v>517</v>
      </c>
      <c r="AG3" s="38" t="s">
        <v>517</v>
      </c>
      <c r="AH3" s="38" t="s">
        <v>517</v>
      </c>
    </row>
    <row r="4" customFormat="false" ht="45.75" hidden="false" customHeight="true" outlineLevel="0" collapsed="false">
      <c r="A4" s="1" t="s">
        <v>0</v>
      </c>
      <c r="B4" s="1" t="s">
        <v>1</v>
      </c>
      <c r="C4" s="1" t="s">
        <v>518</v>
      </c>
      <c r="D4" s="1" t="s">
        <v>3</v>
      </c>
      <c r="E4" s="1" t="s">
        <v>11</v>
      </c>
      <c r="F4" s="1" t="s">
        <v>12</v>
      </c>
      <c r="G4" s="39" t="n">
        <v>46226</v>
      </c>
      <c r="H4" s="39" t="n">
        <v>46227</v>
      </c>
      <c r="I4" s="39" t="n">
        <v>46228</v>
      </c>
      <c r="J4" s="39" t="n">
        <v>46229</v>
      </c>
      <c r="K4" s="39" t="n">
        <v>46230</v>
      </c>
      <c r="L4" s="39" t="n">
        <v>46231</v>
      </c>
      <c r="M4" s="39" t="n">
        <v>46232</v>
      </c>
      <c r="N4" s="39" t="n">
        <v>46233</v>
      </c>
      <c r="O4" s="39" t="n">
        <v>46234</v>
      </c>
      <c r="P4" s="39" t="n">
        <v>46235</v>
      </c>
      <c r="Q4" s="39" t="n">
        <v>46236</v>
      </c>
      <c r="R4" s="39" t="n">
        <v>46237</v>
      </c>
      <c r="S4" s="39" t="n">
        <v>46238</v>
      </c>
      <c r="T4" s="39" t="n">
        <v>46239</v>
      </c>
      <c r="U4" s="39" t="n">
        <v>46240</v>
      </c>
      <c r="V4" s="39" t="n">
        <v>46241</v>
      </c>
      <c r="W4" s="39" t="n">
        <v>46242</v>
      </c>
      <c r="X4" s="39" t="n">
        <v>46243</v>
      </c>
      <c r="Y4" s="39" t="n">
        <v>46244</v>
      </c>
      <c r="Z4" s="39" t="n">
        <v>46245</v>
      </c>
      <c r="AA4" s="39" t="n">
        <v>46246</v>
      </c>
      <c r="AB4" s="39" t="n">
        <v>46247</v>
      </c>
      <c r="AC4" s="39" t="n">
        <v>46248</v>
      </c>
      <c r="AD4" s="39" t="n">
        <v>46249</v>
      </c>
      <c r="AE4" s="39" t="n">
        <v>46250</v>
      </c>
      <c r="AF4" s="39" t="n">
        <v>46251</v>
      </c>
      <c r="AG4" s="39" t="n">
        <v>46252</v>
      </c>
      <c r="AH4" s="39" t="n">
        <v>46253</v>
      </c>
    </row>
    <row r="5" customFormat="false" ht="15" hidden="false" customHeight="false" outlineLevel="0" collapsed="false">
      <c r="A5" s="40" t="str">
        <f aca="false">WBS!A2</f>
        <v>PF-01</v>
      </c>
      <c r="B5" s="41" t="str">
        <f aca="false">WBS!B2</f>
        <v>Close open questions</v>
      </c>
      <c r="C5" s="40" t="str">
        <f aca="false">WBS!E2</f>
        <v>Dejan</v>
      </c>
      <c r="D5" s="40" t="str">
        <f aca="false">WBS!D2</f>
        <v>Formulation &amp; Docs</v>
      </c>
      <c r="E5" s="42" t="n">
        <f aca="false">WBS!L2</f>
        <v>46226</v>
      </c>
      <c r="F5" s="42" t="n">
        <f aca="false">WBS!M2</f>
        <v>46226</v>
      </c>
      <c r="G5" s="43" t="n">
        <f aca="false">IF($E5="","",IF(AND(G$4&gt;=$E5,G$4&lt;=$F5),IF($D5="Milestone","D",1),""))</f>
        <v>1</v>
      </c>
      <c r="H5" s="43" t="str">
        <f aca="false">IF($E5="","",IF(AND(H$4&gt;=$E5,H$4&lt;=$F5),IF($D5="Milestone","D",1),""))</f>
        <v/>
      </c>
      <c r="I5" s="43" t="str">
        <f aca="false">IF($E5="","",IF(AND(I$4&gt;=$E5,I$4&lt;=$F5),IF($D5="Milestone","D",1),""))</f>
        <v/>
      </c>
      <c r="J5" s="43" t="str">
        <f aca="false">IF($E5="","",IF(AND(J$4&gt;=$E5,J$4&lt;=$F5),IF($D5="Milestone","D",1),""))</f>
        <v/>
      </c>
      <c r="K5" s="43" t="str">
        <f aca="false">IF($E5="","",IF(AND(K$4&gt;=$E5,K$4&lt;=$F5),IF($D5="Milestone","D",1),""))</f>
        <v/>
      </c>
      <c r="L5" s="43" t="str">
        <f aca="false">IF($E5="","",IF(AND(L$4&gt;=$E5,L$4&lt;=$F5),IF($D5="Milestone","D",1),""))</f>
        <v/>
      </c>
      <c r="M5" s="43" t="str">
        <f aca="false">IF($E5="","",IF(AND(M$4&gt;=$E5,M$4&lt;=$F5),IF($D5="Milestone","D",1),""))</f>
        <v/>
      </c>
      <c r="N5" s="43" t="str">
        <f aca="false">IF($E5="","",IF(AND(N$4&gt;=$E5,N$4&lt;=$F5),IF($D5="Milestone","D",1),""))</f>
        <v/>
      </c>
      <c r="O5" s="43" t="str">
        <f aca="false">IF($E5="","",IF(AND(O$4&gt;=$E5,O$4&lt;=$F5),IF($D5="Milestone","D",1),""))</f>
        <v/>
      </c>
      <c r="P5" s="43" t="str">
        <f aca="false">IF($E5="","",IF(AND(P$4&gt;=$E5,P$4&lt;=$F5),IF($D5="Milestone","D",1),""))</f>
        <v/>
      </c>
      <c r="Q5" s="43" t="str">
        <f aca="false">IF($E5="","",IF(AND(Q$4&gt;=$E5,Q$4&lt;=$F5),IF($D5="Milestone","D",1),""))</f>
        <v/>
      </c>
      <c r="R5" s="43" t="str">
        <f aca="false">IF($E5="","",IF(AND(R$4&gt;=$E5,R$4&lt;=$F5),IF($D5="Milestone","D",1),""))</f>
        <v/>
      </c>
      <c r="S5" s="43" t="str">
        <f aca="false">IF($E5="","",IF(AND(S$4&gt;=$E5,S$4&lt;=$F5),IF($D5="Milestone","D",1),""))</f>
        <v/>
      </c>
      <c r="T5" s="43" t="str">
        <f aca="false">IF($E5="","",IF(AND(T$4&gt;=$E5,T$4&lt;=$F5),IF($D5="Milestone","D",1),""))</f>
        <v/>
      </c>
      <c r="U5" s="43" t="str">
        <f aca="false">IF($E5="","",IF(AND(U$4&gt;=$E5,U$4&lt;=$F5),IF($D5="Milestone","D",1),""))</f>
        <v/>
      </c>
      <c r="V5" s="43" t="str">
        <f aca="false">IF($E5="","",IF(AND(V$4&gt;=$E5,V$4&lt;=$F5),IF($D5="Milestone","D",1),""))</f>
        <v/>
      </c>
      <c r="W5" s="43" t="str">
        <f aca="false">IF($E5="","",IF(AND(W$4&gt;=$E5,W$4&lt;=$F5),IF($D5="Milestone","D",1),""))</f>
        <v/>
      </c>
      <c r="X5" s="43" t="str">
        <f aca="false">IF($E5="","",IF(AND(X$4&gt;=$E5,X$4&lt;=$F5),IF($D5="Milestone","D",1),""))</f>
        <v/>
      </c>
      <c r="Y5" s="43" t="str">
        <f aca="false">IF($E5="","",IF(AND(Y$4&gt;=$E5,Y$4&lt;=$F5),IF($D5="Milestone","D",1),""))</f>
        <v/>
      </c>
      <c r="Z5" s="43" t="str">
        <f aca="false">IF($E5="","",IF(AND(Z$4&gt;=$E5,Z$4&lt;=$F5),IF($D5="Milestone","D",1),""))</f>
        <v/>
      </c>
      <c r="AA5" s="43" t="str">
        <f aca="false">IF($E5="","",IF(AND(AA$4&gt;=$E5,AA$4&lt;=$F5),IF($D5="Milestone","D",1),""))</f>
        <v/>
      </c>
      <c r="AB5" s="43" t="str">
        <f aca="false">IF($E5="","",IF(AND(AB$4&gt;=$E5,AB$4&lt;=$F5),IF($D5="Milestone","D",1),""))</f>
        <v/>
      </c>
      <c r="AC5" s="43" t="str">
        <f aca="false">IF($E5="","",IF(AND(AC$4&gt;=$E5,AC$4&lt;=$F5),IF($D5="Milestone","D",1),""))</f>
        <v/>
      </c>
      <c r="AD5" s="43" t="str">
        <f aca="false">IF($E5="","",IF(AND(AD$4&gt;=$E5,AD$4&lt;=$F5),IF($D5="Milestone","D",1),""))</f>
        <v/>
      </c>
      <c r="AE5" s="43" t="str">
        <f aca="false">IF($E5="","",IF(AND(AE$4&gt;=$E5,AE$4&lt;=$F5),IF($D5="Milestone","D",1),""))</f>
        <v/>
      </c>
      <c r="AF5" s="43" t="str">
        <f aca="false">IF($E5="","",IF(AND(AF$4&gt;=$E5,AF$4&lt;=$F5),IF($D5="Milestone","D",1),""))</f>
        <v/>
      </c>
      <c r="AG5" s="43" t="str">
        <f aca="false">IF($E5="","",IF(AND(AG$4&gt;=$E5,AG$4&lt;=$F5),IF($D5="Milestone","D",1),""))</f>
        <v/>
      </c>
      <c r="AH5" s="43" t="str">
        <f aca="false">IF($E5="","",IF(AND(AH$4&gt;=$E5,AH$4&lt;=$F5),IF($D5="Milestone","D",1),""))</f>
        <v/>
      </c>
    </row>
    <row r="6" customFormat="false" ht="15" hidden="false" customHeight="false" outlineLevel="0" collapsed="false">
      <c r="A6" s="40" t="str">
        <f aca="false">WBS!A3</f>
        <v>PF-02</v>
      </c>
      <c r="B6" s="41" t="str">
        <f aca="false">WBS!B3</f>
        <v>Problem statement &amp; narrative</v>
      </c>
      <c r="C6" s="40" t="str">
        <f aca="false">WBS!E3</f>
        <v>Dejan</v>
      </c>
      <c r="D6" s="40" t="str">
        <f aca="false">WBS!D3</f>
        <v>Formulation &amp; Docs</v>
      </c>
      <c r="E6" s="42" t="n">
        <f aca="false">WBS!L3</f>
        <v>46226</v>
      </c>
      <c r="F6" s="42" t="n">
        <f aca="false">WBS!M3</f>
        <v>46226</v>
      </c>
      <c r="G6" s="43" t="n">
        <f aca="false">IF($E6="","",IF(AND(G$4&gt;=$E6,G$4&lt;=$F6),IF($D6="Milestone","D",1),""))</f>
        <v>1</v>
      </c>
      <c r="H6" s="43" t="str">
        <f aca="false">IF($E6="","",IF(AND(H$4&gt;=$E6,H$4&lt;=$F6),IF($D6="Milestone","D",1),""))</f>
        <v/>
      </c>
      <c r="I6" s="43" t="str">
        <f aca="false">IF($E6="","",IF(AND(I$4&gt;=$E6,I$4&lt;=$F6),IF($D6="Milestone","D",1),""))</f>
        <v/>
      </c>
      <c r="J6" s="43" t="str">
        <f aca="false">IF($E6="","",IF(AND(J$4&gt;=$E6,J$4&lt;=$F6),IF($D6="Milestone","D",1),""))</f>
        <v/>
      </c>
      <c r="K6" s="43" t="str">
        <f aca="false">IF($E6="","",IF(AND(K$4&gt;=$E6,K$4&lt;=$F6),IF($D6="Milestone","D",1),""))</f>
        <v/>
      </c>
      <c r="L6" s="43" t="str">
        <f aca="false">IF($E6="","",IF(AND(L$4&gt;=$E6,L$4&lt;=$F6),IF($D6="Milestone","D",1),""))</f>
        <v/>
      </c>
      <c r="M6" s="43" t="str">
        <f aca="false">IF($E6="","",IF(AND(M$4&gt;=$E6,M$4&lt;=$F6),IF($D6="Milestone","D",1),""))</f>
        <v/>
      </c>
      <c r="N6" s="43" t="str">
        <f aca="false">IF($E6="","",IF(AND(N$4&gt;=$E6,N$4&lt;=$F6),IF($D6="Milestone","D",1),""))</f>
        <v/>
      </c>
      <c r="O6" s="43" t="str">
        <f aca="false">IF($E6="","",IF(AND(O$4&gt;=$E6,O$4&lt;=$F6),IF($D6="Milestone","D",1),""))</f>
        <v/>
      </c>
      <c r="P6" s="43" t="str">
        <f aca="false">IF($E6="","",IF(AND(P$4&gt;=$E6,P$4&lt;=$F6),IF($D6="Milestone","D",1),""))</f>
        <v/>
      </c>
      <c r="Q6" s="43" t="str">
        <f aca="false">IF($E6="","",IF(AND(Q$4&gt;=$E6,Q$4&lt;=$F6),IF($D6="Milestone","D",1),""))</f>
        <v/>
      </c>
      <c r="R6" s="43" t="str">
        <f aca="false">IF($E6="","",IF(AND(R$4&gt;=$E6,R$4&lt;=$F6),IF($D6="Milestone","D",1),""))</f>
        <v/>
      </c>
      <c r="S6" s="43" t="str">
        <f aca="false">IF($E6="","",IF(AND(S$4&gt;=$E6,S$4&lt;=$F6),IF($D6="Milestone","D",1),""))</f>
        <v/>
      </c>
      <c r="T6" s="43" t="str">
        <f aca="false">IF($E6="","",IF(AND(T$4&gt;=$E6,T$4&lt;=$F6),IF($D6="Milestone","D",1),""))</f>
        <v/>
      </c>
      <c r="U6" s="43" t="str">
        <f aca="false">IF($E6="","",IF(AND(U$4&gt;=$E6,U$4&lt;=$F6),IF($D6="Milestone","D",1),""))</f>
        <v/>
      </c>
      <c r="V6" s="43" t="str">
        <f aca="false">IF($E6="","",IF(AND(V$4&gt;=$E6,V$4&lt;=$F6),IF($D6="Milestone","D",1),""))</f>
        <v/>
      </c>
      <c r="W6" s="43" t="str">
        <f aca="false">IF($E6="","",IF(AND(W$4&gt;=$E6,W$4&lt;=$F6),IF($D6="Milestone","D",1),""))</f>
        <v/>
      </c>
      <c r="X6" s="43" t="str">
        <f aca="false">IF($E6="","",IF(AND(X$4&gt;=$E6,X$4&lt;=$F6),IF($D6="Milestone","D",1),""))</f>
        <v/>
      </c>
      <c r="Y6" s="43" t="str">
        <f aca="false">IF($E6="","",IF(AND(Y$4&gt;=$E6,Y$4&lt;=$F6),IF($D6="Milestone","D",1),""))</f>
        <v/>
      </c>
      <c r="Z6" s="43" t="str">
        <f aca="false">IF($E6="","",IF(AND(Z$4&gt;=$E6,Z$4&lt;=$F6),IF($D6="Milestone","D",1),""))</f>
        <v/>
      </c>
      <c r="AA6" s="43" t="str">
        <f aca="false">IF($E6="","",IF(AND(AA$4&gt;=$E6,AA$4&lt;=$F6),IF($D6="Milestone","D",1),""))</f>
        <v/>
      </c>
      <c r="AB6" s="43" t="str">
        <f aca="false">IF($E6="","",IF(AND(AB$4&gt;=$E6,AB$4&lt;=$F6),IF($D6="Milestone","D",1),""))</f>
        <v/>
      </c>
      <c r="AC6" s="43" t="str">
        <f aca="false">IF($E6="","",IF(AND(AC$4&gt;=$E6,AC$4&lt;=$F6),IF($D6="Milestone","D",1),""))</f>
        <v/>
      </c>
      <c r="AD6" s="43" t="str">
        <f aca="false">IF($E6="","",IF(AND(AD$4&gt;=$E6,AD$4&lt;=$F6),IF($D6="Milestone","D",1),""))</f>
        <v/>
      </c>
      <c r="AE6" s="43" t="str">
        <f aca="false">IF($E6="","",IF(AND(AE$4&gt;=$E6,AE$4&lt;=$F6),IF($D6="Milestone","D",1),""))</f>
        <v/>
      </c>
      <c r="AF6" s="43" t="str">
        <f aca="false">IF($E6="","",IF(AND(AF$4&gt;=$E6,AF$4&lt;=$F6),IF($D6="Milestone","D",1),""))</f>
        <v/>
      </c>
      <c r="AG6" s="43" t="str">
        <f aca="false">IF($E6="","",IF(AND(AG$4&gt;=$E6,AG$4&lt;=$F6),IF($D6="Milestone","D",1),""))</f>
        <v/>
      </c>
      <c r="AH6" s="43" t="str">
        <f aca="false">IF($E6="","",IF(AND(AH$4&gt;=$E6,AH$4&lt;=$F6),IF($D6="Milestone","D",1),""))</f>
        <v/>
      </c>
    </row>
    <row r="7" customFormat="false" ht="15" hidden="false" customHeight="false" outlineLevel="0" collapsed="false">
      <c r="A7" s="40" t="str">
        <f aca="false">WBS!A4</f>
        <v>PF-03</v>
      </c>
      <c r="B7" s="41" t="str">
        <f aca="false">WBS!B4</f>
        <v>Scope &amp; requirements</v>
      </c>
      <c r="C7" s="40" t="str">
        <f aca="false">WBS!E4</f>
        <v>Dejan</v>
      </c>
      <c r="D7" s="40" t="str">
        <f aca="false">WBS!D4</f>
        <v>Formulation &amp; Docs</v>
      </c>
      <c r="E7" s="42" t="n">
        <f aca="false">WBS!L4</f>
        <v>46227</v>
      </c>
      <c r="F7" s="42" t="n">
        <f aca="false">WBS!M4</f>
        <v>46227</v>
      </c>
      <c r="G7" s="43" t="str">
        <f aca="false">IF($E7="","",IF(AND(G$4&gt;=$E7,G$4&lt;=$F7),IF($D7="Milestone","D",1),""))</f>
        <v/>
      </c>
      <c r="H7" s="43" t="n">
        <f aca="false">IF($E7="","",IF(AND(H$4&gt;=$E7,H$4&lt;=$F7),IF($D7="Milestone","D",1),""))</f>
        <v>1</v>
      </c>
      <c r="I7" s="43" t="str">
        <f aca="false">IF($E7="","",IF(AND(I$4&gt;=$E7,I$4&lt;=$F7),IF($D7="Milestone","D",1),""))</f>
        <v/>
      </c>
      <c r="J7" s="43" t="str">
        <f aca="false">IF($E7="","",IF(AND(J$4&gt;=$E7,J$4&lt;=$F7),IF($D7="Milestone","D",1),""))</f>
        <v/>
      </c>
      <c r="K7" s="43" t="str">
        <f aca="false">IF($E7="","",IF(AND(K$4&gt;=$E7,K$4&lt;=$F7),IF($D7="Milestone","D",1),""))</f>
        <v/>
      </c>
      <c r="L7" s="43" t="str">
        <f aca="false">IF($E7="","",IF(AND(L$4&gt;=$E7,L$4&lt;=$F7),IF($D7="Milestone","D",1),""))</f>
        <v/>
      </c>
      <c r="M7" s="43" t="str">
        <f aca="false">IF($E7="","",IF(AND(M$4&gt;=$E7,M$4&lt;=$F7),IF($D7="Milestone","D",1),""))</f>
        <v/>
      </c>
      <c r="N7" s="43" t="str">
        <f aca="false">IF($E7="","",IF(AND(N$4&gt;=$E7,N$4&lt;=$F7),IF($D7="Milestone","D",1),""))</f>
        <v/>
      </c>
      <c r="O7" s="43" t="str">
        <f aca="false">IF($E7="","",IF(AND(O$4&gt;=$E7,O$4&lt;=$F7),IF($D7="Milestone","D",1),""))</f>
        <v/>
      </c>
      <c r="P7" s="43" t="str">
        <f aca="false">IF($E7="","",IF(AND(P$4&gt;=$E7,P$4&lt;=$F7),IF($D7="Milestone","D",1),""))</f>
        <v/>
      </c>
      <c r="Q7" s="43" t="str">
        <f aca="false">IF($E7="","",IF(AND(Q$4&gt;=$E7,Q$4&lt;=$F7),IF($D7="Milestone","D",1),""))</f>
        <v/>
      </c>
      <c r="R7" s="43" t="str">
        <f aca="false">IF($E7="","",IF(AND(R$4&gt;=$E7,R$4&lt;=$F7),IF($D7="Milestone","D",1),""))</f>
        <v/>
      </c>
      <c r="S7" s="43" t="str">
        <f aca="false">IF($E7="","",IF(AND(S$4&gt;=$E7,S$4&lt;=$F7),IF($D7="Milestone","D",1),""))</f>
        <v/>
      </c>
      <c r="T7" s="43" t="str">
        <f aca="false">IF($E7="","",IF(AND(T$4&gt;=$E7,T$4&lt;=$F7),IF($D7="Milestone","D",1),""))</f>
        <v/>
      </c>
      <c r="U7" s="43" t="str">
        <f aca="false">IF($E7="","",IF(AND(U$4&gt;=$E7,U$4&lt;=$F7),IF($D7="Milestone","D",1),""))</f>
        <v/>
      </c>
      <c r="V7" s="43" t="str">
        <f aca="false">IF($E7="","",IF(AND(V$4&gt;=$E7,V$4&lt;=$F7),IF($D7="Milestone","D",1),""))</f>
        <v/>
      </c>
      <c r="W7" s="43" t="str">
        <f aca="false">IF($E7="","",IF(AND(W$4&gt;=$E7,W$4&lt;=$F7),IF($D7="Milestone","D",1),""))</f>
        <v/>
      </c>
      <c r="X7" s="43" t="str">
        <f aca="false">IF($E7="","",IF(AND(X$4&gt;=$E7,X$4&lt;=$F7),IF($D7="Milestone","D",1),""))</f>
        <v/>
      </c>
      <c r="Y7" s="43" t="str">
        <f aca="false">IF($E7="","",IF(AND(Y$4&gt;=$E7,Y$4&lt;=$F7),IF($D7="Milestone","D",1),""))</f>
        <v/>
      </c>
      <c r="Z7" s="43" t="str">
        <f aca="false">IF($E7="","",IF(AND(Z$4&gt;=$E7,Z$4&lt;=$F7),IF($D7="Milestone","D",1),""))</f>
        <v/>
      </c>
      <c r="AA7" s="43" t="str">
        <f aca="false">IF($E7="","",IF(AND(AA$4&gt;=$E7,AA$4&lt;=$F7),IF($D7="Milestone","D",1),""))</f>
        <v/>
      </c>
      <c r="AB7" s="43" t="str">
        <f aca="false">IF($E7="","",IF(AND(AB$4&gt;=$E7,AB$4&lt;=$F7),IF($D7="Milestone","D",1),""))</f>
        <v/>
      </c>
      <c r="AC7" s="43" t="str">
        <f aca="false">IF($E7="","",IF(AND(AC$4&gt;=$E7,AC$4&lt;=$F7),IF($D7="Milestone","D",1),""))</f>
        <v/>
      </c>
      <c r="AD7" s="43" t="str">
        <f aca="false">IF($E7="","",IF(AND(AD$4&gt;=$E7,AD$4&lt;=$F7),IF($D7="Milestone","D",1),""))</f>
        <v/>
      </c>
      <c r="AE7" s="43" t="str">
        <f aca="false">IF($E7="","",IF(AND(AE$4&gt;=$E7,AE$4&lt;=$F7),IF($D7="Milestone","D",1),""))</f>
        <v/>
      </c>
      <c r="AF7" s="43" t="str">
        <f aca="false">IF($E7="","",IF(AND(AF$4&gt;=$E7,AF$4&lt;=$F7),IF($D7="Milestone","D",1),""))</f>
        <v/>
      </c>
      <c r="AG7" s="43" t="str">
        <f aca="false">IF($E7="","",IF(AND(AG$4&gt;=$E7,AG$4&lt;=$F7),IF($D7="Milestone","D",1),""))</f>
        <v/>
      </c>
      <c r="AH7" s="43" t="str">
        <f aca="false">IF($E7="","",IF(AND(AH$4&gt;=$E7,AH$4&lt;=$F7),IF($D7="Milestone","D",1),""))</f>
        <v/>
      </c>
    </row>
    <row r="8" customFormat="false" ht="15" hidden="false" customHeight="false" outlineLevel="0" collapsed="false">
      <c r="A8" s="40" t="str">
        <f aca="false">WBS!A5</f>
        <v>PF-04</v>
      </c>
      <c r="B8" s="41" t="str">
        <f aca="false">WBS!B5</f>
        <v>Milestones &amp; staging</v>
      </c>
      <c r="C8" s="40" t="str">
        <f aca="false">WBS!E5</f>
        <v>Dejan</v>
      </c>
      <c r="D8" s="40" t="str">
        <f aca="false">WBS!D5</f>
        <v>Formulation &amp; Docs</v>
      </c>
      <c r="E8" s="42" t="n">
        <f aca="false">WBS!L5</f>
        <v>46228</v>
      </c>
      <c r="F8" s="42" t="n">
        <f aca="false">WBS!M5</f>
        <v>46228</v>
      </c>
      <c r="G8" s="43" t="str">
        <f aca="false">IF($E8="","",IF(AND(G$4&gt;=$E8,G$4&lt;=$F8),IF($D8="Milestone","D",1),""))</f>
        <v/>
      </c>
      <c r="H8" s="43" t="str">
        <f aca="false">IF($E8="","",IF(AND(H$4&gt;=$E8,H$4&lt;=$F8),IF($D8="Milestone","D",1),""))</f>
        <v/>
      </c>
      <c r="I8" s="43" t="n">
        <f aca="false">IF($E8="","",IF(AND(I$4&gt;=$E8,I$4&lt;=$F8),IF($D8="Milestone","D",1),""))</f>
        <v>1</v>
      </c>
      <c r="J8" s="43" t="str">
        <f aca="false">IF($E8="","",IF(AND(J$4&gt;=$E8,J$4&lt;=$F8),IF($D8="Milestone","D",1),""))</f>
        <v/>
      </c>
      <c r="K8" s="43" t="str">
        <f aca="false">IF($E8="","",IF(AND(K$4&gt;=$E8,K$4&lt;=$F8),IF($D8="Milestone","D",1),""))</f>
        <v/>
      </c>
      <c r="L8" s="43" t="str">
        <f aca="false">IF($E8="","",IF(AND(L$4&gt;=$E8,L$4&lt;=$F8),IF($D8="Milestone","D",1),""))</f>
        <v/>
      </c>
      <c r="M8" s="43" t="str">
        <f aca="false">IF($E8="","",IF(AND(M$4&gt;=$E8,M$4&lt;=$F8),IF($D8="Milestone","D",1),""))</f>
        <v/>
      </c>
      <c r="N8" s="43" t="str">
        <f aca="false">IF($E8="","",IF(AND(N$4&gt;=$E8,N$4&lt;=$F8),IF($D8="Milestone","D",1),""))</f>
        <v/>
      </c>
      <c r="O8" s="43" t="str">
        <f aca="false">IF($E8="","",IF(AND(O$4&gt;=$E8,O$4&lt;=$F8),IF($D8="Milestone","D",1),""))</f>
        <v/>
      </c>
      <c r="P8" s="43" t="str">
        <f aca="false">IF($E8="","",IF(AND(P$4&gt;=$E8,P$4&lt;=$F8),IF($D8="Milestone","D",1),""))</f>
        <v/>
      </c>
      <c r="Q8" s="43" t="str">
        <f aca="false">IF($E8="","",IF(AND(Q$4&gt;=$E8,Q$4&lt;=$F8),IF($D8="Milestone","D",1),""))</f>
        <v/>
      </c>
      <c r="R8" s="43" t="str">
        <f aca="false">IF($E8="","",IF(AND(R$4&gt;=$E8,R$4&lt;=$F8),IF($D8="Milestone","D",1),""))</f>
        <v/>
      </c>
      <c r="S8" s="43" t="str">
        <f aca="false">IF($E8="","",IF(AND(S$4&gt;=$E8,S$4&lt;=$F8),IF($D8="Milestone","D",1),""))</f>
        <v/>
      </c>
      <c r="T8" s="43" t="str">
        <f aca="false">IF($E8="","",IF(AND(T$4&gt;=$E8,T$4&lt;=$F8),IF($D8="Milestone","D",1),""))</f>
        <v/>
      </c>
      <c r="U8" s="43" t="str">
        <f aca="false">IF($E8="","",IF(AND(U$4&gt;=$E8,U$4&lt;=$F8),IF($D8="Milestone","D",1),""))</f>
        <v/>
      </c>
      <c r="V8" s="43" t="str">
        <f aca="false">IF($E8="","",IF(AND(V$4&gt;=$E8,V$4&lt;=$F8),IF($D8="Milestone","D",1),""))</f>
        <v/>
      </c>
      <c r="W8" s="43" t="str">
        <f aca="false">IF($E8="","",IF(AND(W$4&gt;=$E8,W$4&lt;=$F8),IF($D8="Milestone","D",1),""))</f>
        <v/>
      </c>
      <c r="X8" s="43" t="str">
        <f aca="false">IF($E8="","",IF(AND(X$4&gt;=$E8,X$4&lt;=$F8),IF($D8="Milestone","D",1),""))</f>
        <v/>
      </c>
      <c r="Y8" s="43" t="str">
        <f aca="false">IF($E8="","",IF(AND(Y$4&gt;=$E8,Y$4&lt;=$F8),IF($D8="Milestone","D",1),""))</f>
        <v/>
      </c>
      <c r="Z8" s="43" t="str">
        <f aca="false">IF($E8="","",IF(AND(Z$4&gt;=$E8,Z$4&lt;=$F8),IF($D8="Milestone","D",1),""))</f>
        <v/>
      </c>
      <c r="AA8" s="43" t="str">
        <f aca="false">IF($E8="","",IF(AND(AA$4&gt;=$E8,AA$4&lt;=$F8),IF($D8="Milestone","D",1),""))</f>
        <v/>
      </c>
      <c r="AB8" s="43" t="str">
        <f aca="false">IF($E8="","",IF(AND(AB$4&gt;=$E8,AB$4&lt;=$F8),IF($D8="Milestone","D",1),""))</f>
        <v/>
      </c>
      <c r="AC8" s="43" t="str">
        <f aca="false">IF($E8="","",IF(AND(AC$4&gt;=$E8,AC$4&lt;=$F8),IF($D8="Milestone","D",1),""))</f>
        <v/>
      </c>
      <c r="AD8" s="43" t="str">
        <f aca="false">IF($E8="","",IF(AND(AD$4&gt;=$E8,AD$4&lt;=$F8),IF($D8="Milestone","D",1),""))</f>
        <v/>
      </c>
      <c r="AE8" s="43" t="str">
        <f aca="false">IF($E8="","",IF(AND(AE$4&gt;=$E8,AE$4&lt;=$F8),IF($D8="Milestone","D",1),""))</f>
        <v/>
      </c>
      <c r="AF8" s="43" t="str">
        <f aca="false">IF($E8="","",IF(AND(AF$4&gt;=$E8,AF$4&lt;=$F8),IF($D8="Milestone","D",1),""))</f>
        <v/>
      </c>
      <c r="AG8" s="43" t="str">
        <f aca="false">IF($E8="","",IF(AND(AG$4&gt;=$E8,AG$4&lt;=$F8),IF($D8="Milestone","D",1),""))</f>
        <v/>
      </c>
      <c r="AH8" s="43" t="str">
        <f aca="false">IF($E8="","",IF(AND(AH$4&gt;=$E8,AH$4&lt;=$F8),IF($D8="Milestone","D",1),""))</f>
        <v/>
      </c>
    </row>
    <row r="9" customFormat="false" ht="15" hidden="false" customHeight="false" outlineLevel="0" collapsed="false">
      <c r="A9" s="40" t="str">
        <f aca="false">WBS!A6</f>
        <v>PF-05</v>
      </c>
      <c r="B9" s="41" t="str">
        <f aca="false">WBS!B6</f>
        <v>Roles &amp; RACI</v>
      </c>
      <c r="C9" s="40" t="str">
        <f aca="false">WBS!E6</f>
        <v>Dejan</v>
      </c>
      <c r="D9" s="40" t="str">
        <f aca="false">WBS!D6</f>
        <v>Formulation &amp; Docs</v>
      </c>
      <c r="E9" s="42" t="n">
        <f aca="false">WBS!L6</f>
        <v>46226</v>
      </c>
      <c r="F9" s="42" t="n">
        <f aca="false">WBS!M6</f>
        <v>46226</v>
      </c>
      <c r="G9" s="43" t="n">
        <f aca="false">IF($E9="","",IF(AND(G$4&gt;=$E9,G$4&lt;=$F9),IF($D9="Milestone","D",1),""))</f>
        <v>1</v>
      </c>
      <c r="H9" s="43" t="str">
        <f aca="false">IF($E9="","",IF(AND(H$4&gt;=$E9,H$4&lt;=$F9),IF($D9="Milestone","D",1),""))</f>
        <v/>
      </c>
      <c r="I9" s="43" t="str">
        <f aca="false">IF($E9="","",IF(AND(I$4&gt;=$E9,I$4&lt;=$F9),IF($D9="Milestone","D",1),""))</f>
        <v/>
      </c>
      <c r="J9" s="43" t="str">
        <f aca="false">IF($E9="","",IF(AND(J$4&gt;=$E9,J$4&lt;=$F9),IF($D9="Milestone","D",1),""))</f>
        <v/>
      </c>
      <c r="K9" s="43" t="str">
        <f aca="false">IF($E9="","",IF(AND(K$4&gt;=$E9,K$4&lt;=$F9),IF($D9="Milestone","D",1),""))</f>
        <v/>
      </c>
      <c r="L9" s="43" t="str">
        <f aca="false">IF($E9="","",IF(AND(L$4&gt;=$E9,L$4&lt;=$F9),IF($D9="Milestone","D",1),""))</f>
        <v/>
      </c>
      <c r="M9" s="43" t="str">
        <f aca="false">IF($E9="","",IF(AND(M$4&gt;=$E9,M$4&lt;=$F9),IF($D9="Milestone","D",1),""))</f>
        <v/>
      </c>
      <c r="N9" s="43" t="str">
        <f aca="false">IF($E9="","",IF(AND(N$4&gt;=$E9,N$4&lt;=$F9),IF($D9="Milestone","D",1),""))</f>
        <v/>
      </c>
      <c r="O9" s="43" t="str">
        <f aca="false">IF($E9="","",IF(AND(O$4&gt;=$E9,O$4&lt;=$F9),IF($D9="Milestone","D",1),""))</f>
        <v/>
      </c>
      <c r="P9" s="43" t="str">
        <f aca="false">IF($E9="","",IF(AND(P$4&gt;=$E9,P$4&lt;=$F9),IF($D9="Milestone","D",1),""))</f>
        <v/>
      </c>
      <c r="Q9" s="43" t="str">
        <f aca="false">IF($E9="","",IF(AND(Q$4&gt;=$E9,Q$4&lt;=$F9),IF($D9="Milestone","D",1),""))</f>
        <v/>
      </c>
      <c r="R9" s="43" t="str">
        <f aca="false">IF($E9="","",IF(AND(R$4&gt;=$E9,R$4&lt;=$F9),IF($D9="Milestone","D",1),""))</f>
        <v/>
      </c>
      <c r="S9" s="43" t="str">
        <f aca="false">IF($E9="","",IF(AND(S$4&gt;=$E9,S$4&lt;=$F9),IF($D9="Milestone","D",1),""))</f>
        <v/>
      </c>
      <c r="T9" s="43" t="str">
        <f aca="false">IF($E9="","",IF(AND(T$4&gt;=$E9,T$4&lt;=$F9),IF($D9="Milestone","D",1),""))</f>
        <v/>
      </c>
      <c r="U9" s="43" t="str">
        <f aca="false">IF($E9="","",IF(AND(U$4&gt;=$E9,U$4&lt;=$F9),IF($D9="Milestone","D",1),""))</f>
        <v/>
      </c>
      <c r="V9" s="43" t="str">
        <f aca="false">IF($E9="","",IF(AND(V$4&gt;=$E9,V$4&lt;=$F9),IF($D9="Milestone","D",1),""))</f>
        <v/>
      </c>
      <c r="W9" s="43" t="str">
        <f aca="false">IF($E9="","",IF(AND(W$4&gt;=$E9,W$4&lt;=$F9),IF($D9="Milestone","D",1),""))</f>
        <v/>
      </c>
      <c r="X9" s="43" t="str">
        <f aca="false">IF($E9="","",IF(AND(X$4&gt;=$E9,X$4&lt;=$F9),IF($D9="Milestone","D",1),""))</f>
        <v/>
      </c>
      <c r="Y9" s="43" t="str">
        <f aca="false">IF($E9="","",IF(AND(Y$4&gt;=$E9,Y$4&lt;=$F9),IF($D9="Milestone","D",1),""))</f>
        <v/>
      </c>
      <c r="Z9" s="43" t="str">
        <f aca="false">IF($E9="","",IF(AND(Z$4&gt;=$E9,Z$4&lt;=$F9),IF($D9="Milestone","D",1),""))</f>
        <v/>
      </c>
      <c r="AA9" s="43" t="str">
        <f aca="false">IF($E9="","",IF(AND(AA$4&gt;=$E9,AA$4&lt;=$F9),IF($D9="Milestone","D",1),""))</f>
        <v/>
      </c>
      <c r="AB9" s="43" t="str">
        <f aca="false">IF($E9="","",IF(AND(AB$4&gt;=$E9,AB$4&lt;=$F9),IF($D9="Milestone","D",1),""))</f>
        <v/>
      </c>
      <c r="AC9" s="43" t="str">
        <f aca="false">IF($E9="","",IF(AND(AC$4&gt;=$E9,AC$4&lt;=$F9),IF($D9="Milestone","D",1),""))</f>
        <v/>
      </c>
      <c r="AD9" s="43" t="str">
        <f aca="false">IF($E9="","",IF(AND(AD$4&gt;=$E9,AD$4&lt;=$F9),IF($D9="Milestone","D",1),""))</f>
        <v/>
      </c>
      <c r="AE9" s="43" t="str">
        <f aca="false">IF($E9="","",IF(AND(AE$4&gt;=$E9,AE$4&lt;=$F9),IF($D9="Milestone","D",1),""))</f>
        <v/>
      </c>
      <c r="AF9" s="43" t="str">
        <f aca="false">IF($E9="","",IF(AND(AF$4&gt;=$E9,AF$4&lt;=$F9),IF($D9="Milestone","D",1),""))</f>
        <v/>
      </c>
      <c r="AG9" s="43" t="str">
        <f aca="false">IF($E9="","",IF(AND(AG$4&gt;=$E9,AG$4&lt;=$F9),IF($D9="Milestone","D",1),""))</f>
        <v/>
      </c>
      <c r="AH9" s="43" t="str">
        <f aca="false">IF($E9="","",IF(AND(AH$4&gt;=$E9,AH$4&lt;=$F9),IF($D9="Milestone","D",1),""))</f>
        <v/>
      </c>
    </row>
    <row r="10" customFormat="false" ht="15" hidden="false" customHeight="false" outlineLevel="0" collapsed="false">
      <c r="A10" s="40" t="str">
        <f aca="false">WBS!A7</f>
        <v>PF-06</v>
      </c>
      <c r="B10" s="41" t="str">
        <f aca="false">WBS!B7</f>
        <v>EoM - 1-DoF pendulum</v>
      </c>
      <c r="C10" s="40" t="str">
        <f aca="false">WBS!E7</f>
        <v>Dejan</v>
      </c>
      <c r="D10" s="40" t="str">
        <f aca="false">WBS!D7</f>
        <v>Formulation &amp; Docs</v>
      </c>
      <c r="E10" s="42" t="n">
        <f aca="false">WBS!L7</f>
        <v>46227</v>
      </c>
      <c r="F10" s="42" t="n">
        <f aca="false">WBS!M7</f>
        <v>46228</v>
      </c>
      <c r="G10" s="43" t="str">
        <f aca="false">IF($E10="","",IF(AND(G$4&gt;=$E10,G$4&lt;=$F10),IF($D10="Milestone","D",1),""))</f>
        <v/>
      </c>
      <c r="H10" s="43" t="n">
        <f aca="false">IF($E10="","",IF(AND(H$4&gt;=$E10,H$4&lt;=$F10),IF($D10="Milestone","D",1),""))</f>
        <v>1</v>
      </c>
      <c r="I10" s="43" t="n">
        <f aca="false">IF($E10="","",IF(AND(I$4&gt;=$E10,I$4&lt;=$F10),IF($D10="Milestone","D",1),""))</f>
        <v>1</v>
      </c>
      <c r="J10" s="43" t="str">
        <f aca="false">IF($E10="","",IF(AND(J$4&gt;=$E10,J$4&lt;=$F10),IF($D10="Milestone","D",1),""))</f>
        <v/>
      </c>
      <c r="K10" s="43" t="str">
        <f aca="false">IF($E10="","",IF(AND(K$4&gt;=$E10,K$4&lt;=$F10),IF($D10="Milestone","D",1),""))</f>
        <v/>
      </c>
      <c r="L10" s="43" t="str">
        <f aca="false">IF($E10="","",IF(AND(L$4&gt;=$E10,L$4&lt;=$F10),IF($D10="Milestone","D",1),""))</f>
        <v/>
      </c>
      <c r="M10" s="43" t="str">
        <f aca="false">IF($E10="","",IF(AND(M$4&gt;=$E10,M$4&lt;=$F10),IF($D10="Milestone","D",1),""))</f>
        <v/>
      </c>
      <c r="N10" s="43" t="str">
        <f aca="false">IF($E10="","",IF(AND(N$4&gt;=$E10,N$4&lt;=$F10),IF($D10="Milestone","D",1),""))</f>
        <v/>
      </c>
      <c r="O10" s="43" t="str">
        <f aca="false">IF($E10="","",IF(AND(O$4&gt;=$E10,O$4&lt;=$F10),IF($D10="Milestone","D",1),""))</f>
        <v/>
      </c>
      <c r="P10" s="43" t="str">
        <f aca="false">IF($E10="","",IF(AND(P$4&gt;=$E10,P$4&lt;=$F10),IF($D10="Milestone","D",1),""))</f>
        <v/>
      </c>
      <c r="Q10" s="43" t="str">
        <f aca="false">IF($E10="","",IF(AND(Q$4&gt;=$E10,Q$4&lt;=$F10),IF($D10="Milestone","D",1),""))</f>
        <v/>
      </c>
      <c r="R10" s="43" t="str">
        <f aca="false">IF($E10="","",IF(AND(R$4&gt;=$E10,R$4&lt;=$F10),IF($D10="Milestone","D",1),""))</f>
        <v/>
      </c>
      <c r="S10" s="43" t="str">
        <f aca="false">IF($E10="","",IF(AND(S$4&gt;=$E10,S$4&lt;=$F10),IF($D10="Milestone","D",1),""))</f>
        <v/>
      </c>
      <c r="T10" s="43" t="str">
        <f aca="false">IF($E10="","",IF(AND(T$4&gt;=$E10,T$4&lt;=$F10),IF($D10="Milestone","D",1),""))</f>
        <v/>
      </c>
      <c r="U10" s="43" t="str">
        <f aca="false">IF($E10="","",IF(AND(U$4&gt;=$E10,U$4&lt;=$F10),IF($D10="Milestone","D",1),""))</f>
        <v/>
      </c>
      <c r="V10" s="43" t="str">
        <f aca="false">IF($E10="","",IF(AND(V$4&gt;=$E10,V$4&lt;=$F10),IF($D10="Milestone","D",1),""))</f>
        <v/>
      </c>
      <c r="W10" s="43" t="str">
        <f aca="false">IF($E10="","",IF(AND(W$4&gt;=$E10,W$4&lt;=$F10),IF($D10="Milestone","D",1),""))</f>
        <v/>
      </c>
      <c r="X10" s="43" t="str">
        <f aca="false">IF($E10="","",IF(AND(X$4&gt;=$E10,X$4&lt;=$F10),IF($D10="Milestone","D",1),""))</f>
        <v/>
      </c>
      <c r="Y10" s="43" t="str">
        <f aca="false">IF($E10="","",IF(AND(Y$4&gt;=$E10,Y$4&lt;=$F10),IF($D10="Milestone","D",1),""))</f>
        <v/>
      </c>
      <c r="Z10" s="43" t="str">
        <f aca="false">IF($E10="","",IF(AND(Z$4&gt;=$E10,Z$4&lt;=$F10),IF($D10="Milestone","D",1),""))</f>
        <v/>
      </c>
      <c r="AA10" s="43" t="str">
        <f aca="false">IF($E10="","",IF(AND(AA$4&gt;=$E10,AA$4&lt;=$F10),IF($D10="Milestone","D",1),""))</f>
        <v/>
      </c>
      <c r="AB10" s="43" t="str">
        <f aca="false">IF($E10="","",IF(AND(AB$4&gt;=$E10,AB$4&lt;=$F10),IF($D10="Milestone","D",1),""))</f>
        <v/>
      </c>
      <c r="AC10" s="43" t="str">
        <f aca="false">IF($E10="","",IF(AND(AC$4&gt;=$E10,AC$4&lt;=$F10),IF($D10="Milestone","D",1),""))</f>
        <v/>
      </c>
      <c r="AD10" s="43" t="str">
        <f aca="false">IF($E10="","",IF(AND(AD$4&gt;=$E10,AD$4&lt;=$F10),IF($D10="Milestone","D",1),""))</f>
        <v/>
      </c>
      <c r="AE10" s="43" t="str">
        <f aca="false">IF($E10="","",IF(AND(AE$4&gt;=$E10,AE$4&lt;=$F10),IF($D10="Milestone","D",1),""))</f>
        <v/>
      </c>
      <c r="AF10" s="43" t="str">
        <f aca="false">IF($E10="","",IF(AND(AF$4&gt;=$E10,AF$4&lt;=$F10),IF($D10="Milestone","D",1),""))</f>
        <v/>
      </c>
      <c r="AG10" s="43" t="str">
        <f aca="false">IF($E10="","",IF(AND(AG$4&gt;=$E10,AG$4&lt;=$F10),IF($D10="Milestone","D",1),""))</f>
        <v/>
      </c>
      <c r="AH10" s="43" t="str">
        <f aca="false">IF($E10="","",IF(AND(AH$4&gt;=$E10,AH$4&lt;=$F10),IF($D10="Milestone","D",1),""))</f>
        <v/>
      </c>
    </row>
    <row r="11" customFormat="false" ht="15" hidden="false" customHeight="false" outlineLevel="0" collapsed="false">
      <c r="A11" s="40" t="str">
        <f aca="false">WBS!A8</f>
        <v>PF-07</v>
      </c>
      <c r="B11" s="41" t="str">
        <f aca="false">WBS!B8</f>
        <v>EoM - 3D cube</v>
      </c>
      <c r="C11" s="40" t="str">
        <f aca="false">WBS!E8</f>
        <v>Dejan</v>
      </c>
      <c r="D11" s="40" t="str">
        <f aca="false">WBS!D8</f>
        <v>Formulation &amp; Docs</v>
      </c>
      <c r="E11" s="42" t="n">
        <f aca="false">WBS!L8</f>
        <v>46230</v>
      </c>
      <c r="F11" s="42" t="n">
        <f aca="false">WBS!M8</f>
        <v>46231</v>
      </c>
      <c r="G11" s="43" t="str">
        <f aca="false">IF($E11="","",IF(AND(G$4&gt;=$E11,G$4&lt;=$F11),IF($D11="Milestone","D",1),""))</f>
        <v/>
      </c>
      <c r="H11" s="43" t="str">
        <f aca="false">IF($E11="","",IF(AND(H$4&gt;=$E11,H$4&lt;=$F11),IF($D11="Milestone","D",1),""))</f>
        <v/>
      </c>
      <c r="I11" s="43" t="str">
        <f aca="false">IF($E11="","",IF(AND(I$4&gt;=$E11,I$4&lt;=$F11),IF($D11="Milestone","D",1),""))</f>
        <v/>
      </c>
      <c r="J11" s="43" t="str">
        <f aca="false">IF($E11="","",IF(AND(J$4&gt;=$E11,J$4&lt;=$F11),IF($D11="Milestone","D",1),""))</f>
        <v/>
      </c>
      <c r="K11" s="43" t="n">
        <f aca="false">IF($E11="","",IF(AND(K$4&gt;=$E11,K$4&lt;=$F11),IF($D11="Milestone","D",1),""))</f>
        <v>1</v>
      </c>
      <c r="L11" s="43" t="n">
        <f aca="false">IF($E11="","",IF(AND(L$4&gt;=$E11,L$4&lt;=$F11),IF($D11="Milestone","D",1),""))</f>
        <v>1</v>
      </c>
      <c r="M11" s="43" t="str">
        <f aca="false">IF($E11="","",IF(AND(M$4&gt;=$E11,M$4&lt;=$F11),IF($D11="Milestone","D",1),""))</f>
        <v/>
      </c>
      <c r="N11" s="43" t="str">
        <f aca="false">IF($E11="","",IF(AND(N$4&gt;=$E11,N$4&lt;=$F11),IF($D11="Milestone","D",1),""))</f>
        <v/>
      </c>
      <c r="O11" s="43" t="str">
        <f aca="false">IF($E11="","",IF(AND(O$4&gt;=$E11,O$4&lt;=$F11),IF($D11="Milestone","D",1),""))</f>
        <v/>
      </c>
      <c r="P11" s="43" t="str">
        <f aca="false">IF($E11="","",IF(AND(P$4&gt;=$E11,P$4&lt;=$F11),IF($D11="Milestone","D",1),""))</f>
        <v/>
      </c>
      <c r="Q11" s="43" t="str">
        <f aca="false">IF($E11="","",IF(AND(Q$4&gt;=$E11,Q$4&lt;=$F11),IF($D11="Milestone","D",1),""))</f>
        <v/>
      </c>
      <c r="R11" s="43" t="str">
        <f aca="false">IF($E11="","",IF(AND(R$4&gt;=$E11,R$4&lt;=$F11),IF($D11="Milestone","D",1),""))</f>
        <v/>
      </c>
      <c r="S11" s="43" t="str">
        <f aca="false">IF($E11="","",IF(AND(S$4&gt;=$E11,S$4&lt;=$F11),IF($D11="Milestone","D",1),""))</f>
        <v/>
      </c>
      <c r="T11" s="43" t="str">
        <f aca="false">IF($E11="","",IF(AND(T$4&gt;=$E11,T$4&lt;=$F11),IF($D11="Milestone","D",1),""))</f>
        <v/>
      </c>
      <c r="U11" s="43" t="str">
        <f aca="false">IF($E11="","",IF(AND(U$4&gt;=$E11,U$4&lt;=$F11),IF($D11="Milestone","D",1),""))</f>
        <v/>
      </c>
      <c r="V11" s="43" t="str">
        <f aca="false">IF($E11="","",IF(AND(V$4&gt;=$E11,V$4&lt;=$F11),IF($D11="Milestone","D",1),""))</f>
        <v/>
      </c>
      <c r="W11" s="43" t="str">
        <f aca="false">IF($E11="","",IF(AND(W$4&gt;=$E11,W$4&lt;=$F11),IF($D11="Milestone","D",1),""))</f>
        <v/>
      </c>
      <c r="X11" s="43" t="str">
        <f aca="false">IF($E11="","",IF(AND(X$4&gt;=$E11,X$4&lt;=$F11),IF($D11="Milestone","D",1),""))</f>
        <v/>
      </c>
      <c r="Y11" s="43" t="str">
        <f aca="false">IF($E11="","",IF(AND(Y$4&gt;=$E11,Y$4&lt;=$F11),IF($D11="Milestone","D",1),""))</f>
        <v/>
      </c>
      <c r="Z11" s="43" t="str">
        <f aca="false">IF($E11="","",IF(AND(Z$4&gt;=$E11,Z$4&lt;=$F11),IF($D11="Milestone","D",1),""))</f>
        <v/>
      </c>
      <c r="AA11" s="43" t="str">
        <f aca="false">IF($E11="","",IF(AND(AA$4&gt;=$E11,AA$4&lt;=$F11),IF($D11="Milestone","D",1),""))</f>
        <v/>
      </c>
      <c r="AB11" s="43" t="str">
        <f aca="false">IF($E11="","",IF(AND(AB$4&gt;=$E11,AB$4&lt;=$F11),IF($D11="Milestone","D",1),""))</f>
        <v/>
      </c>
      <c r="AC11" s="43" t="str">
        <f aca="false">IF($E11="","",IF(AND(AC$4&gt;=$E11,AC$4&lt;=$F11),IF($D11="Milestone","D",1),""))</f>
        <v/>
      </c>
      <c r="AD11" s="43" t="str">
        <f aca="false">IF($E11="","",IF(AND(AD$4&gt;=$E11,AD$4&lt;=$F11),IF($D11="Milestone","D",1),""))</f>
        <v/>
      </c>
      <c r="AE11" s="43" t="str">
        <f aca="false">IF($E11="","",IF(AND(AE$4&gt;=$E11,AE$4&lt;=$F11),IF($D11="Milestone","D",1),""))</f>
        <v/>
      </c>
      <c r="AF11" s="43" t="str">
        <f aca="false">IF($E11="","",IF(AND(AF$4&gt;=$E11,AF$4&lt;=$F11),IF($D11="Milestone","D",1),""))</f>
        <v/>
      </c>
      <c r="AG11" s="43" t="str">
        <f aca="false">IF($E11="","",IF(AND(AG$4&gt;=$E11,AG$4&lt;=$F11),IF($D11="Milestone","D",1),""))</f>
        <v/>
      </c>
      <c r="AH11" s="43" t="str">
        <f aca="false">IF($E11="","",IF(AND(AH$4&gt;=$E11,AH$4&lt;=$F11),IF($D11="Milestone","D",1),""))</f>
        <v/>
      </c>
    </row>
    <row r="12" customFormat="false" ht="15" hidden="false" customHeight="false" outlineLevel="0" collapsed="false">
      <c r="A12" s="40" t="str">
        <f aca="false">WBS!A9</f>
        <v>PF-08</v>
      </c>
      <c r="B12" s="41" t="str">
        <f aca="false">WBS!B9</f>
        <v>Linearisation &amp; controllability</v>
      </c>
      <c r="C12" s="40" t="str">
        <f aca="false">WBS!E9</f>
        <v>Dejan</v>
      </c>
      <c r="D12" s="40" t="str">
        <f aca="false">WBS!D9</f>
        <v>Formulation &amp; Docs</v>
      </c>
      <c r="E12" s="42" t="n">
        <f aca="false">WBS!L9</f>
        <v>46232</v>
      </c>
      <c r="F12" s="42" t="n">
        <f aca="false">WBS!M9</f>
        <v>46232</v>
      </c>
      <c r="G12" s="43" t="str">
        <f aca="false">IF($E12="","",IF(AND(G$4&gt;=$E12,G$4&lt;=$F12),IF($D12="Milestone","D",1),""))</f>
        <v/>
      </c>
      <c r="H12" s="43" t="str">
        <f aca="false">IF($E12="","",IF(AND(H$4&gt;=$E12,H$4&lt;=$F12),IF($D12="Milestone","D",1),""))</f>
        <v/>
      </c>
      <c r="I12" s="43" t="str">
        <f aca="false">IF($E12="","",IF(AND(I$4&gt;=$E12,I$4&lt;=$F12),IF($D12="Milestone","D",1),""))</f>
        <v/>
      </c>
      <c r="J12" s="43" t="str">
        <f aca="false">IF($E12="","",IF(AND(J$4&gt;=$E12,J$4&lt;=$F12),IF($D12="Milestone","D",1),""))</f>
        <v/>
      </c>
      <c r="K12" s="43" t="str">
        <f aca="false">IF($E12="","",IF(AND(K$4&gt;=$E12,K$4&lt;=$F12),IF($D12="Milestone","D",1),""))</f>
        <v/>
      </c>
      <c r="L12" s="43" t="str">
        <f aca="false">IF($E12="","",IF(AND(L$4&gt;=$E12,L$4&lt;=$F12),IF($D12="Milestone","D",1),""))</f>
        <v/>
      </c>
      <c r="M12" s="43" t="n">
        <f aca="false">IF($E12="","",IF(AND(M$4&gt;=$E12,M$4&lt;=$F12),IF($D12="Milestone","D",1),""))</f>
        <v>1</v>
      </c>
      <c r="N12" s="43" t="str">
        <f aca="false">IF($E12="","",IF(AND(N$4&gt;=$E12,N$4&lt;=$F12),IF($D12="Milestone","D",1),""))</f>
        <v/>
      </c>
      <c r="O12" s="43" t="str">
        <f aca="false">IF($E12="","",IF(AND(O$4&gt;=$E12,O$4&lt;=$F12),IF($D12="Milestone","D",1),""))</f>
        <v/>
      </c>
      <c r="P12" s="43" t="str">
        <f aca="false">IF($E12="","",IF(AND(P$4&gt;=$E12,P$4&lt;=$F12),IF($D12="Milestone","D",1),""))</f>
        <v/>
      </c>
      <c r="Q12" s="43" t="str">
        <f aca="false">IF($E12="","",IF(AND(Q$4&gt;=$E12,Q$4&lt;=$F12),IF($D12="Milestone","D",1),""))</f>
        <v/>
      </c>
      <c r="R12" s="43" t="str">
        <f aca="false">IF($E12="","",IF(AND(R$4&gt;=$E12,R$4&lt;=$F12),IF($D12="Milestone","D",1),""))</f>
        <v/>
      </c>
      <c r="S12" s="43" t="str">
        <f aca="false">IF($E12="","",IF(AND(S$4&gt;=$E12,S$4&lt;=$F12),IF($D12="Milestone","D",1),""))</f>
        <v/>
      </c>
      <c r="T12" s="43" t="str">
        <f aca="false">IF($E12="","",IF(AND(T$4&gt;=$E12,T$4&lt;=$F12),IF($D12="Milestone","D",1),""))</f>
        <v/>
      </c>
      <c r="U12" s="43" t="str">
        <f aca="false">IF($E12="","",IF(AND(U$4&gt;=$E12,U$4&lt;=$F12),IF($D12="Milestone","D",1),""))</f>
        <v/>
      </c>
      <c r="V12" s="43" t="str">
        <f aca="false">IF($E12="","",IF(AND(V$4&gt;=$E12,V$4&lt;=$F12),IF($D12="Milestone","D",1),""))</f>
        <v/>
      </c>
      <c r="W12" s="43" t="str">
        <f aca="false">IF($E12="","",IF(AND(W$4&gt;=$E12,W$4&lt;=$F12),IF($D12="Milestone","D",1),""))</f>
        <v/>
      </c>
      <c r="X12" s="43" t="str">
        <f aca="false">IF($E12="","",IF(AND(X$4&gt;=$E12,X$4&lt;=$F12),IF($D12="Milestone","D",1),""))</f>
        <v/>
      </c>
      <c r="Y12" s="43" t="str">
        <f aca="false">IF($E12="","",IF(AND(Y$4&gt;=$E12,Y$4&lt;=$F12),IF($D12="Milestone","D",1),""))</f>
        <v/>
      </c>
      <c r="Z12" s="43" t="str">
        <f aca="false">IF($E12="","",IF(AND(Z$4&gt;=$E12,Z$4&lt;=$F12),IF($D12="Milestone","D",1),""))</f>
        <v/>
      </c>
      <c r="AA12" s="43" t="str">
        <f aca="false">IF($E12="","",IF(AND(AA$4&gt;=$E12,AA$4&lt;=$F12),IF($D12="Milestone","D",1),""))</f>
        <v/>
      </c>
      <c r="AB12" s="43" t="str">
        <f aca="false">IF($E12="","",IF(AND(AB$4&gt;=$E12,AB$4&lt;=$F12),IF($D12="Milestone","D",1),""))</f>
        <v/>
      </c>
      <c r="AC12" s="43" t="str">
        <f aca="false">IF($E12="","",IF(AND(AC$4&gt;=$E12,AC$4&lt;=$F12),IF($D12="Milestone","D",1),""))</f>
        <v/>
      </c>
      <c r="AD12" s="43" t="str">
        <f aca="false">IF($E12="","",IF(AND(AD$4&gt;=$E12,AD$4&lt;=$F12),IF($D12="Milestone","D",1),""))</f>
        <v/>
      </c>
      <c r="AE12" s="43" t="str">
        <f aca="false">IF($E12="","",IF(AND(AE$4&gt;=$E12,AE$4&lt;=$F12),IF($D12="Milestone","D",1),""))</f>
        <v/>
      </c>
      <c r="AF12" s="43" t="str">
        <f aca="false">IF($E12="","",IF(AND(AF$4&gt;=$E12,AF$4&lt;=$F12),IF($D12="Milestone","D",1),""))</f>
        <v/>
      </c>
      <c r="AG12" s="43" t="str">
        <f aca="false">IF($E12="","",IF(AND(AG$4&gt;=$E12,AG$4&lt;=$F12),IF($D12="Milestone","D",1),""))</f>
        <v/>
      </c>
      <c r="AH12" s="43" t="str">
        <f aca="false">IF($E12="","",IF(AND(AH$4&gt;=$E12,AH$4&lt;=$F12),IF($D12="Milestone","D",1),""))</f>
        <v/>
      </c>
    </row>
    <row r="13" customFormat="false" ht="15" hidden="false" customHeight="false" outlineLevel="0" collapsed="false">
      <c r="A13" s="40" t="str">
        <f aca="false">WBS!A10</f>
        <v>PF-09</v>
      </c>
      <c r="B13" s="41" t="str">
        <f aca="false">WBS!B10</f>
        <v>Mass / inertia / CoM budget</v>
      </c>
      <c r="C13" s="40" t="str">
        <f aca="false">WBS!E10</f>
        <v>Dejan</v>
      </c>
      <c r="D13" s="40" t="str">
        <f aca="false">WBS!D10</f>
        <v>Formulation &amp; Docs</v>
      </c>
      <c r="E13" s="42" t="n">
        <f aca="false">WBS!L10</f>
        <v>46228</v>
      </c>
      <c r="F13" s="42" t="n">
        <f aca="false">WBS!M10</f>
        <v>46228</v>
      </c>
      <c r="G13" s="43" t="str">
        <f aca="false">IF($E13="","",IF(AND(G$4&gt;=$E13,G$4&lt;=$F13),IF($D13="Milestone","D",1),""))</f>
        <v/>
      </c>
      <c r="H13" s="43" t="str">
        <f aca="false">IF($E13="","",IF(AND(H$4&gt;=$E13,H$4&lt;=$F13),IF($D13="Milestone","D",1),""))</f>
        <v/>
      </c>
      <c r="I13" s="43" t="n">
        <f aca="false">IF($E13="","",IF(AND(I$4&gt;=$E13,I$4&lt;=$F13),IF($D13="Milestone","D",1),""))</f>
        <v>1</v>
      </c>
      <c r="J13" s="43" t="str">
        <f aca="false">IF($E13="","",IF(AND(J$4&gt;=$E13,J$4&lt;=$F13),IF($D13="Milestone","D",1),""))</f>
        <v/>
      </c>
      <c r="K13" s="43" t="str">
        <f aca="false">IF($E13="","",IF(AND(K$4&gt;=$E13,K$4&lt;=$F13),IF($D13="Milestone","D",1),""))</f>
        <v/>
      </c>
      <c r="L13" s="43" t="str">
        <f aca="false">IF($E13="","",IF(AND(L$4&gt;=$E13,L$4&lt;=$F13),IF($D13="Milestone","D",1),""))</f>
        <v/>
      </c>
      <c r="M13" s="43" t="str">
        <f aca="false">IF($E13="","",IF(AND(M$4&gt;=$E13,M$4&lt;=$F13),IF($D13="Milestone","D",1),""))</f>
        <v/>
      </c>
      <c r="N13" s="43" t="str">
        <f aca="false">IF($E13="","",IF(AND(N$4&gt;=$E13,N$4&lt;=$F13),IF($D13="Milestone","D",1),""))</f>
        <v/>
      </c>
      <c r="O13" s="43" t="str">
        <f aca="false">IF($E13="","",IF(AND(O$4&gt;=$E13,O$4&lt;=$F13),IF($D13="Milestone","D",1),""))</f>
        <v/>
      </c>
      <c r="P13" s="43" t="str">
        <f aca="false">IF($E13="","",IF(AND(P$4&gt;=$E13,P$4&lt;=$F13),IF($D13="Milestone","D",1),""))</f>
        <v/>
      </c>
      <c r="Q13" s="43" t="str">
        <f aca="false">IF($E13="","",IF(AND(Q$4&gt;=$E13,Q$4&lt;=$F13),IF($D13="Milestone","D",1),""))</f>
        <v/>
      </c>
      <c r="R13" s="43" t="str">
        <f aca="false">IF($E13="","",IF(AND(R$4&gt;=$E13,R$4&lt;=$F13),IF($D13="Milestone","D",1),""))</f>
        <v/>
      </c>
      <c r="S13" s="43" t="str">
        <f aca="false">IF($E13="","",IF(AND(S$4&gt;=$E13,S$4&lt;=$F13),IF($D13="Milestone","D",1),""))</f>
        <v/>
      </c>
      <c r="T13" s="43" t="str">
        <f aca="false">IF($E13="","",IF(AND(T$4&gt;=$E13,T$4&lt;=$F13),IF($D13="Milestone","D",1),""))</f>
        <v/>
      </c>
      <c r="U13" s="43" t="str">
        <f aca="false">IF($E13="","",IF(AND(U$4&gt;=$E13,U$4&lt;=$F13),IF($D13="Milestone","D",1),""))</f>
        <v/>
      </c>
      <c r="V13" s="43" t="str">
        <f aca="false">IF($E13="","",IF(AND(V$4&gt;=$E13,V$4&lt;=$F13),IF($D13="Milestone","D",1),""))</f>
        <v/>
      </c>
      <c r="W13" s="43" t="str">
        <f aca="false">IF($E13="","",IF(AND(W$4&gt;=$E13,W$4&lt;=$F13),IF($D13="Milestone","D",1),""))</f>
        <v/>
      </c>
      <c r="X13" s="43" t="str">
        <f aca="false">IF($E13="","",IF(AND(X$4&gt;=$E13,X$4&lt;=$F13),IF($D13="Milestone","D",1),""))</f>
        <v/>
      </c>
      <c r="Y13" s="43" t="str">
        <f aca="false">IF($E13="","",IF(AND(Y$4&gt;=$E13,Y$4&lt;=$F13),IF($D13="Milestone","D",1),""))</f>
        <v/>
      </c>
      <c r="Z13" s="43" t="str">
        <f aca="false">IF($E13="","",IF(AND(Z$4&gt;=$E13,Z$4&lt;=$F13),IF($D13="Milestone","D",1),""))</f>
        <v/>
      </c>
      <c r="AA13" s="43" t="str">
        <f aca="false">IF($E13="","",IF(AND(AA$4&gt;=$E13,AA$4&lt;=$F13),IF($D13="Milestone","D",1),""))</f>
        <v/>
      </c>
      <c r="AB13" s="43" t="str">
        <f aca="false">IF($E13="","",IF(AND(AB$4&gt;=$E13,AB$4&lt;=$F13),IF($D13="Milestone","D",1),""))</f>
        <v/>
      </c>
      <c r="AC13" s="43" t="str">
        <f aca="false">IF($E13="","",IF(AND(AC$4&gt;=$E13,AC$4&lt;=$F13),IF($D13="Milestone","D",1),""))</f>
        <v/>
      </c>
      <c r="AD13" s="43" t="str">
        <f aca="false">IF($E13="","",IF(AND(AD$4&gt;=$E13,AD$4&lt;=$F13),IF($D13="Milestone","D",1),""))</f>
        <v/>
      </c>
      <c r="AE13" s="43" t="str">
        <f aca="false">IF($E13="","",IF(AND(AE$4&gt;=$E13,AE$4&lt;=$F13),IF($D13="Milestone","D",1),""))</f>
        <v/>
      </c>
      <c r="AF13" s="43" t="str">
        <f aca="false">IF($E13="","",IF(AND(AF$4&gt;=$E13,AF$4&lt;=$F13),IF($D13="Milestone","D",1),""))</f>
        <v/>
      </c>
      <c r="AG13" s="43" t="str">
        <f aca="false">IF($E13="","",IF(AND(AG$4&gt;=$E13,AG$4&lt;=$F13),IF($D13="Milestone","D",1),""))</f>
        <v/>
      </c>
      <c r="AH13" s="43" t="str">
        <f aca="false">IF($E13="","",IF(AND(AH$4&gt;=$E13,AH$4&lt;=$F13),IF($D13="Milestone","D",1),""))</f>
        <v/>
      </c>
    </row>
    <row r="14" customFormat="false" ht="15" hidden="false" customHeight="false" outlineLevel="0" collapsed="false">
      <c r="A14" s="40" t="str">
        <f aca="false">WBS!A11</f>
        <v>PF-10</v>
      </c>
      <c r="B14" s="41" t="str">
        <f aca="false">WBS!B11</f>
        <v>Jump-up analysis</v>
      </c>
      <c r="C14" s="40" t="str">
        <f aca="false">WBS!E11</f>
        <v>Dejan</v>
      </c>
      <c r="D14" s="40" t="str">
        <f aca="false">WBS!D11</f>
        <v>Formulation &amp; Docs</v>
      </c>
      <c r="E14" s="42" t="n">
        <f aca="false">WBS!L11</f>
        <v>46233</v>
      </c>
      <c r="F14" s="42" t="n">
        <f aca="false">WBS!M11</f>
        <v>46233</v>
      </c>
      <c r="G14" s="43" t="str">
        <f aca="false">IF($E14="","",IF(AND(G$4&gt;=$E14,G$4&lt;=$F14),IF($D14="Milestone","D",1),""))</f>
        <v/>
      </c>
      <c r="H14" s="43" t="str">
        <f aca="false">IF($E14="","",IF(AND(H$4&gt;=$E14,H$4&lt;=$F14),IF($D14="Milestone","D",1),""))</f>
        <v/>
      </c>
      <c r="I14" s="43" t="str">
        <f aca="false">IF($E14="","",IF(AND(I$4&gt;=$E14,I$4&lt;=$F14),IF($D14="Milestone","D",1),""))</f>
        <v/>
      </c>
      <c r="J14" s="43" t="str">
        <f aca="false">IF($E14="","",IF(AND(J$4&gt;=$E14,J$4&lt;=$F14),IF($D14="Milestone","D",1),""))</f>
        <v/>
      </c>
      <c r="K14" s="43" t="str">
        <f aca="false">IF($E14="","",IF(AND(K$4&gt;=$E14,K$4&lt;=$F14),IF($D14="Milestone","D",1),""))</f>
        <v/>
      </c>
      <c r="L14" s="43" t="str">
        <f aca="false">IF($E14="","",IF(AND(L$4&gt;=$E14,L$4&lt;=$F14),IF($D14="Milestone","D",1),""))</f>
        <v/>
      </c>
      <c r="M14" s="43" t="str">
        <f aca="false">IF($E14="","",IF(AND(M$4&gt;=$E14,M$4&lt;=$F14),IF($D14="Milestone","D",1),""))</f>
        <v/>
      </c>
      <c r="N14" s="43" t="n">
        <f aca="false">IF($E14="","",IF(AND(N$4&gt;=$E14,N$4&lt;=$F14),IF($D14="Milestone","D",1),""))</f>
        <v>1</v>
      </c>
      <c r="O14" s="43" t="str">
        <f aca="false">IF($E14="","",IF(AND(O$4&gt;=$E14,O$4&lt;=$F14),IF($D14="Milestone","D",1),""))</f>
        <v/>
      </c>
      <c r="P14" s="43" t="str">
        <f aca="false">IF($E14="","",IF(AND(P$4&gt;=$E14,P$4&lt;=$F14),IF($D14="Milestone","D",1),""))</f>
        <v/>
      </c>
      <c r="Q14" s="43" t="str">
        <f aca="false">IF($E14="","",IF(AND(Q$4&gt;=$E14,Q$4&lt;=$F14),IF($D14="Milestone","D",1),""))</f>
        <v/>
      </c>
      <c r="R14" s="43" t="str">
        <f aca="false">IF($E14="","",IF(AND(R$4&gt;=$E14,R$4&lt;=$F14),IF($D14="Milestone","D",1),""))</f>
        <v/>
      </c>
      <c r="S14" s="43" t="str">
        <f aca="false">IF($E14="","",IF(AND(S$4&gt;=$E14,S$4&lt;=$F14),IF($D14="Milestone","D",1),""))</f>
        <v/>
      </c>
      <c r="T14" s="43" t="str">
        <f aca="false">IF($E14="","",IF(AND(T$4&gt;=$E14,T$4&lt;=$F14),IF($D14="Milestone","D",1),""))</f>
        <v/>
      </c>
      <c r="U14" s="43" t="str">
        <f aca="false">IF($E14="","",IF(AND(U$4&gt;=$E14,U$4&lt;=$F14),IF($D14="Milestone","D",1),""))</f>
        <v/>
      </c>
      <c r="V14" s="43" t="str">
        <f aca="false">IF($E14="","",IF(AND(V$4&gt;=$E14,V$4&lt;=$F14),IF($D14="Milestone","D",1),""))</f>
        <v/>
      </c>
      <c r="W14" s="43" t="str">
        <f aca="false">IF($E14="","",IF(AND(W$4&gt;=$E14,W$4&lt;=$F14),IF($D14="Milestone","D",1),""))</f>
        <v/>
      </c>
      <c r="X14" s="43" t="str">
        <f aca="false">IF($E14="","",IF(AND(X$4&gt;=$E14,X$4&lt;=$F14),IF($D14="Milestone","D",1),""))</f>
        <v/>
      </c>
      <c r="Y14" s="43" t="str">
        <f aca="false">IF($E14="","",IF(AND(Y$4&gt;=$E14,Y$4&lt;=$F14),IF($D14="Milestone","D",1),""))</f>
        <v/>
      </c>
      <c r="Z14" s="43" t="str">
        <f aca="false">IF($E14="","",IF(AND(Z$4&gt;=$E14,Z$4&lt;=$F14),IF($D14="Milestone","D",1),""))</f>
        <v/>
      </c>
      <c r="AA14" s="43" t="str">
        <f aca="false">IF($E14="","",IF(AND(AA$4&gt;=$E14,AA$4&lt;=$F14),IF($D14="Milestone","D",1),""))</f>
        <v/>
      </c>
      <c r="AB14" s="43" t="str">
        <f aca="false">IF($E14="","",IF(AND(AB$4&gt;=$E14,AB$4&lt;=$F14),IF($D14="Milestone","D",1),""))</f>
        <v/>
      </c>
      <c r="AC14" s="43" t="str">
        <f aca="false">IF($E14="","",IF(AND(AC$4&gt;=$E14,AC$4&lt;=$F14),IF($D14="Milestone","D",1),""))</f>
        <v/>
      </c>
      <c r="AD14" s="43" t="str">
        <f aca="false">IF($E14="","",IF(AND(AD$4&gt;=$E14,AD$4&lt;=$F14),IF($D14="Milestone","D",1),""))</f>
        <v/>
      </c>
      <c r="AE14" s="43" t="str">
        <f aca="false">IF($E14="","",IF(AND(AE$4&gt;=$E14,AE$4&lt;=$F14),IF($D14="Milestone","D",1),""))</f>
        <v/>
      </c>
      <c r="AF14" s="43" t="str">
        <f aca="false">IF($E14="","",IF(AND(AF$4&gt;=$E14,AF$4&lt;=$F14),IF($D14="Milestone","D",1),""))</f>
        <v/>
      </c>
      <c r="AG14" s="43" t="str">
        <f aca="false">IF($E14="","",IF(AND(AG$4&gt;=$E14,AG$4&lt;=$F14),IF($D14="Milestone","D",1),""))</f>
        <v/>
      </c>
      <c r="AH14" s="43" t="str">
        <f aca="false">IF($E14="","",IF(AND(AH$4&gt;=$E14,AH$4&lt;=$F14),IF($D14="Milestone","D",1),""))</f>
        <v/>
      </c>
    </row>
    <row r="15" customFormat="false" ht="15" hidden="false" customHeight="false" outlineLevel="0" collapsed="false">
      <c r="A15" s="40" t="str">
        <f aca="false">WBS!A12</f>
        <v>PF-11a</v>
      </c>
      <c r="B15" s="41" t="str">
        <f aca="false">WBS!B12</f>
        <v>TDD - draft body</v>
      </c>
      <c r="C15" s="40" t="str">
        <f aca="false">WBS!E12</f>
        <v>ALL</v>
      </c>
      <c r="D15" s="40" t="str">
        <f aca="false">WBS!D12</f>
        <v>Formulation &amp; Docs</v>
      </c>
      <c r="E15" s="42" t="n">
        <f aca="false">WBS!L12</f>
        <v>46228</v>
      </c>
      <c r="F15" s="42" t="n">
        <f aca="false">WBS!M12</f>
        <v>46229</v>
      </c>
      <c r="G15" s="43" t="str">
        <f aca="false">IF($E15="","",IF(AND(G$4&gt;=$E15,G$4&lt;=$F15),IF($D15="Milestone","D",1),""))</f>
        <v/>
      </c>
      <c r="H15" s="43" t="str">
        <f aca="false">IF($E15="","",IF(AND(H$4&gt;=$E15,H$4&lt;=$F15),IF($D15="Milestone","D",1),""))</f>
        <v/>
      </c>
      <c r="I15" s="43" t="n">
        <f aca="false">IF($E15="","",IF(AND(I$4&gt;=$E15,I$4&lt;=$F15),IF($D15="Milestone","D",1),""))</f>
        <v>1</v>
      </c>
      <c r="J15" s="43" t="n">
        <f aca="false">IF($E15="","",IF(AND(J$4&gt;=$E15,J$4&lt;=$F15),IF($D15="Milestone","D",1),""))</f>
        <v>1</v>
      </c>
      <c r="K15" s="43" t="str">
        <f aca="false">IF($E15="","",IF(AND(K$4&gt;=$E15,K$4&lt;=$F15),IF($D15="Milestone","D",1),""))</f>
        <v/>
      </c>
      <c r="L15" s="43" t="str">
        <f aca="false">IF($E15="","",IF(AND(L$4&gt;=$E15,L$4&lt;=$F15),IF($D15="Milestone","D",1),""))</f>
        <v/>
      </c>
      <c r="M15" s="43" t="str">
        <f aca="false">IF($E15="","",IF(AND(M$4&gt;=$E15,M$4&lt;=$F15),IF($D15="Milestone","D",1),""))</f>
        <v/>
      </c>
      <c r="N15" s="43" t="str">
        <f aca="false">IF($E15="","",IF(AND(N$4&gt;=$E15,N$4&lt;=$F15),IF($D15="Milestone","D",1),""))</f>
        <v/>
      </c>
      <c r="O15" s="43" t="str">
        <f aca="false">IF($E15="","",IF(AND(O$4&gt;=$E15,O$4&lt;=$F15),IF($D15="Milestone","D",1),""))</f>
        <v/>
      </c>
      <c r="P15" s="43" t="str">
        <f aca="false">IF($E15="","",IF(AND(P$4&gt;=$E15,P$4&lt;=$F15),IF($D15="Milestone","D",1),""))</f>
        <v/>
      </c>
      <c r="Q15" s="43" t="str">
        <f aca="false">IF($E15="","",IF(AND(Q$4&gt;=$E15,Q$4&lt;=$F15),IF($D15="Milestone","D",1),""))</f>
        <v/>
      </c>
      <c r="R15" s="43" t="str">
        <f aca="false">IF($E15="","",IF(AND(R$4&gt;=$E15,R$4&lt;=$F15),IF($D15="Milestone","D",1),""))</f>
        <v/>
      </c>
      <c r="S15" s="43" t="str">
        <f aca="false">IF($E15="","",IF(AND(S$4&gt;=$E15,S$4&lt;=$F15),IF($D15="Milestone","D",1),""))</f>
        <v/>
      </c>
      <c r="T15" s="43" t="str">
        <f aca="false">IF($E15="","",IF(AND(T$4&gt;=$E15,T$4&lt;=$F15),IF($D15="Milestone","D",1),""))</f>
        <v/>
      </c>
      <c r="U15" s="43" t="str">
        <f aca="false">IF($E15="","",IF(AND(U$4&gt;=$E15,U$4&lt;=$F15),IF($D15="Milestone","D",1),""))</f>
        <v/>
      </c>
      <c r="V15" s="43" t="str">
        <f aca="false">IF($E15="","",IF(AND(V$4&gt;=$E15,V$4&lt;=$F15),IF($D15="Milestone","D",1),""))</f>
        <v/>
      </c>
      <c r="W15" s="43" t="str">
        <f aca="false">IF($E15="","",IF(AND(W$4&gt;=$E15,W$4&lt;=$F15),IF($D15="Milestone","D",1),""))</f>
        <v/>
      </c>
      <c r="X15" s="43" t="str">
        <f aca="false">IF($E15="","",IF(AND(X$4&gt;=$E15,X$4&lt;=$F15),IF($D15="Milestone","D",1),""))</f>
        <v/>
      </c>
      <c r="Y15" s="43" t="str">
        <f aca="false">IF($E15="","",IF(AND(Y$4&gt;=$E15,Y$4&lt;=$F15),IF($D15="Milestone","D",1),""))</f>
        <v/>
      </c>
      <c r="Z15" s="43" t="str">
        <f aca="false">IF($E15="","",IF(AND(Z$4&gt;=$E15,Z$4&lt;=$F15),IF($D15="Milestone","D",1),""))</f>
        <v/>
      </c>
      <c r="AA15" s="43" t="str">
        <f aca="false">IF($E15="","",IF(AND(AA$4&gt;=$E15,AA$4&lt;=$F15),IF($D15="Milestone","D",1),""))</f>
        <v/>
      </c>
      <c r="AB15" s="43" t="str">
        <f aca="false">IF($E15="","",IF(AND(AB$4&gt;=$E15,AB$4&lt;=$F15),IF($D15="Milestone","D",1),""))</f>
        <v/>
      </c>
      <c r="AC15" s="43" t="str">
        <f aca="false">IF($E15="","",IF(AND(AC$4&gt;=$E15,AC$4&lt;=$F15),IF($D15="Milestone","D",1),""))</f>
        <v/>
      </c>
      <c r="AD15" s="43" t="str">
        <f aca="false">IF($E15="","",IF(AND(AD$4&gt;=$E15,AD$4&lt;=$F15),IF($D15="Milestone","D",1),""))</f>
        <v/>
      </c>
      <c r="AE15" s="43" t="str">
        <f aca="false">IF($E15="","",IF(AND(AE$4&gt;=$E15,AE$4&lt;=$F15),IF($D15="Milestone","D",1),""))</f>
        <v/>
      </c>
      <c r="AF15" s="43" t="str">
        <f aca="false">IF($E15="","",IF(AND(AF$4&gt;=$E15,AF$4&lt;=$F15),IF($D15="Milestone","D",1),""))</f>
        <v/>
      </c>
      <c r="AG15" s="43" t="str">
        <f aca="false">IF($E15="","",IF(AND(AG$4&gt;=$E15,AG$4&lt;=$F15),IF($D15="Milestone","D",1),""))</f>
        <v/>
      </c>
      <c r="AH15" s="43" t="str">
        <f aca="false">IF($E15="","",IF(AND(AH$4&gt;=$E15,AH$4&lt;=$F15),IF($D15="Milestone","D",1),""))</f>
        <v/>
      </c>
    </row>
    <row r="16" customFormat="false" ht="15" hidden="false" customHeight="false" outlineLevel="0" collapsed="false">
      <c r="A16" s="40" t="str">
        <f aca="false">WBS!A13</f>
        <v>PF-11b</v>
      </c>
      <c r="B16" s="41" t="str">
        <f aca="false">WBS!B13</f>
        <v>TDD - deepen + S1 data</v>
      </c>
      <c r="C16" s="40" t="str">
        <f aca="false">WBS!E13</f>
        <v>ALL</v>
      </c>
      <c r="D16" s="40" t="str">
        <f aca="false">WBS!D13</f>
        <v>Formulation &amp; Docs</v>
      </c>
      <c r="E16" s="42" t="n">
        <f aca="false">WBS!L13</f>
        <v>46235</v>
      </c>
      <c r="F16" s="42" t="n">
        <f aca="false">WBS!M13</f>
        <v>46236</v>
      </c>
      <c r="G16" s="43" t="str">
        <f aca="false">IF($E16="","",IF(AND(G$4&gt;=$E16,G$4&lt;=$F16),IF($D16="Milestone","D",1),""))</f>
        <v/>
      </c>
      <c r="H16" s="43" t="str">
        <f aca="false">IF($E16="","",IF(AND(H$4&gt;=$E16,H$4&lt;=$F16),IF($D16="Milestone","D",1),""))</f>
        <v/>
      </c>
      <c r="I16" s="43" t="str">
        <f aca="false">IF($E16="","",IF(AND(I$4&gt;=$E16,I$4&lt;=$F16),IF($D16="Milestone","D",1),""))</f>
        <v/>
      </c>
      <c r="J16" s="43" t="str">
        <f aca="false">IF($E16="","",IF(AND(J$4&gt;=$E16,J$4&lt;=$F16),IF($D16="Milestone","D",1),""))</f>
        <v/>
      </c>
      <c r="K16" s="43" t="str">
        <f aca="false">IF($E16="","",IF(AND(K$4&gt;=$E16,K$4&lt;=$F16),IF($D16="Milestone","D",1),""))</f>
        <v/>
      </c>
      <c r="L16" s="43" t="str">
        <f aca="false">IF($E16="","",IF(AND(L$4&gt;=$E16,L$4&lt;=$F16),IF($D16="Milestone","D",1),""))</f>
        <v/>
      </c>
      <c r="M16" s="43" t="str">
        <f aca="false">IF($E16="","",IF(AND(M$4&gt;=$E16,M$4&lt;=$F16),IF($D16="Milestone","D",1),""))</f>
        <v/>
      </c>
      <c r="N16" s="43" t="str">
        <f aca="false">IF($E16="","",IF(AND(N$4&gt;=$E16,N$4&lt;=$F16),IF($D16="Milestone","D",1),""))</f>
        <v/>
      </c>
      <c r="O16" s="43" t="str">
        <f aca="false">IF($E16="","",IF(AND(O$4&gt;=$E16,O$4&lt;=$F16),IF($D16="Milestone","D",1),""))</f>
        <v/>
      </c>
      <c r="P16" s="43" t="n">
        <f aca="false">IF($E16="","",IF(AND(P$4&gt;=$E16,P$4&lt;=$F16),IF($D16="Milestone","D",1),""))</f>
        <v>1</v>
      </c>
      <c r="Q16" s="43" t="n">
        <f aca="false">IF($E16="","",IF(AND(Q$4&gt;=$E16,Q$4&lt;=$F16),IF($D16="Milestone","D",1),""))</f>
        <v>1</v>
      </c>
      <c r="R16" s="43" t="str">
        <f aca="false">IF($E16="","",IF(AND(R$4&gt;=$E16,R$4&lt;=$F16),IF($D16="Milestone","D",1),""))</f>
        <v/>
      </c>
      <c r="S16" s="43" t="str">
        <f aca="false">IF($E16="","",IF(AND(S$4&gt;=$E16,S$4&lt;=$F16),IF($D16="Milestone","D",1),""))</f>
        <v/>
      </c>
      <c r="T16" s="43" t="str">
        <f aca="false">IF($E16="","",IF(AND(T$4&gt;=$E16,T$4&lt;=$F16),IF($D16="Milestone","D",1),""))</f>
        <v/>
      </c>
      <c r="U16" s="43" t="str">
        <f aca="false">IF($E16="","",IF(AND(U$4&gt;=$E16,U$4&lt;=$F16),IF($D16="Milestone","D",1),""))</f>
        <v/>
      </c>
      <c r="V16" s="43" t="str">
        <f aca="false">IF($E16="","",IF(AND(V$4&gt;=$E16,V$4&lt;=$F16),IF($D16="Milestone","D",1),""))</f>
        <v/>
      </c>
      <c r="W16" s="43" t="str">
        <f aca="false">IF($E16="","",IF(AND(W$4&gt;=$E16,W$4&lt;=$F16),IF($D16="Milestone","D",1),""))</f>
        <v/>
      </c>
      <c r="X16" s="43" t="str">
        <f aca="false">IF($E16="","",IF(AND(X$4&gt;=$E16,X$4&lt;=$F16),IF($D16="Milestone","D",1),""))</f>
        <v/>
      </c>
      <c r="Y16" s="43" t="str">
        <f aca="false">IF($E16="","",IF(AND(Y$4&gt;=$E16,Y$4&lt;=$F16),IF($D16="Milestone","D",1),""))</f>
        <v/>
      </c>
      <c r="Z16" s="43" t="str">
        <f aca="false">IF($E16="","",IF(AND(Z$4&gt;=$E16,Z$4&lt;=$F16),IF($D16="Milestone","D",1),""))</f>
        <v/>
      </c>
      <c r="AA16" s="43" t="str">
        <f aca="false">IF($E16="","",IF(AND(AA$4&gt;=$E16,AA$4&lt;=$F16),IF($D16="Milestone","D",1),""))</f>
        <v/>
      </c>
      <c r="AB16" s="43" t="str">
        <f aca="false">IF($E16="","",IF(AND(AB$4&gt;=$E16,AB$4&lt;=$F16),IF($D16="Milestone","D",1),""))</f>
        <v/>
      </c>
      <c r="AC16" s="43" t="str">
        <f aca="false">IF($E16="","",IF(AND(AC$4&gt;=$E16,AC$4&lt;=$F16),IF($D16="Milestone","D",1),""))</f>
        <v/>
      </c>
      <c r="AD16" s="43" t="str">
        <f aca="false">IF($E16="","",IF(AND(AD$4&gt;=$E16,AD$4&lt;=$F16),IF($D16="Milestone","D",1),""))</f>
        <v/>
      </c>
      <c r="AE16" s="43" t="str">
        <f aca="false">IF($E16="","",IF(AND(AE$4&gt;=$E16,AE$4&lt;=$F16),IF($D16="Milestone","D",1),""))</f>
        <v/>
      </c>
      <c r="AF16" s="43" t="str">
        <f aca="false">IF($E16="","",IF(AND(AF$4&gt;=$E16,AF$4&lt;=$F16),IF($D16="Milestone","D",1),""))</f>
        <v/>
      </c>
      <c r="AG16" s="43" t="str">
        <f aca="false">IF($E16="","",IF(AND(AG$4&gt;=$E16,AG$4&lt;=$F16),IF($D16="Milestone","D",1),""))</f>
        <v/>
      </c>
      <c r="AH16" s="43" t="str">
        <f aca="false">IF($E16="","",IF(AND(AH$4&gt;=$E16,AH$4&lt;=$F16),IF($D16="Milestone","D",1),""))</f>
        <v/>
      </c>
    </row>
    <row r="17" customFormat="false" ht="15" hidden="false" customHeight="false" outlineLevel="0" collapsed="false">
      <c r="A17" s="40" t="str">
        <f aca="false">WBS!A14</f>
        <v>PF-11c</v>
      </c>
      <c r="B17" s="41" t="str">
        <f aca="false">WBS!B14</f>
        <v>TDD - assemble &amp; submit</v>
      </c>
      <c r="C17" s="40" t="str">
        <f aca="false">WBS!E14</f>
        <v>ALL</v>
      </c>
      <c r="D17" s="40" t="str">
        <f aca="false">WBS!D14</f>
        <v>Formulation &amp; Docs</v>
      </c>
      <c r="E17" s="42" t="n">
        <f aca="false">WBS!L14</f>
        <v>46237</v>
      </c>
      <c r="F17" s="42" t="n">
        <f aca="false">WBS!M14</f>
        <v>46237</v>
      </c>
      <c r="G17" s="43" t="str">
        <f aca="false">IF($E17="","",IF(AND(G$4&gt;=$E17,G$4&lt;=$F17),IF($D17="Milestone","D",1),""))</f>
        <v/>
      </c>
      <c r="H17" s="43" t="str">
        <f aca="false">IF($E17="","",IF(AND(H$4&gt;=$E17,H$4&lt;=$F17),IF($D17="Milestone","D",1),""))</f>
        <v/>
      </c>
      <c r="I17" s="43" t="str">
        <f aca="false">IF($E17="","",IF(AND(I$4&gt;=$E17,I$4&lt;=$F17),IF($D17="Milestone","D",1),""))</f>
        <v/>
      </c>
      <c r="J17" s="43" t="str">
        <f aca="false">IF($E17="","",IF(AND(J$4&gt;=$E17,J$4&lt;=$F17),IF($D17="Milestone","D",1),""))</f>
        <v/>
      </c>
      <c r="K17" s="43" t="str">
        <f aca="false">IF($E17="","",IF(AND(K$4&gt;=$E17,K$4&lt;=$F17),IF($D17="Milestone","D",1),""))</f>
        <v/>
      </c>
      <c r="L17" s="43" t="str">
        <f aca="false">IF($E17="","",IF(AND(L$4&gt;=$E17,L$4&lt;=$F17),IF($D17="Milestone","D",1),""))</f>
        <v/>
      </c>
      <c r="M17" s="43" t="str">
        <f aca="false">IF($E17="","",IF(AND(M$4&gt;=$E17,M$4&lt;=$F17),IF($D17="Milestone","D",1),""))</f>
        <v/>
      </c>
      <c r="N17" s="43" t="str">
        <f aca="false">IF($E17="","",IF(AND(N$4&gt;=$E17,N$4&lt;=$F17),IF($D17="Milestone","D",1),""))</f>
        <v/>
      </c>
      <c r="O17" s="43" t="str">
        <f aca="false">IF($E17="","",IF(AND(O$4&gt;=$E17,O$4&lt;=$F17),IF($D17="Milestone","D",1),""))</f>
        <v/>
      </c>
      <c r="P17" s="43" t="str">
        <f aca="false">IF($E17="","",IF(AND(P$4&gt;=$E17,P$4&lt;=$F17),IF($D17="Milestone","D",1),""))</f>
        <v/>
      </c>
      <c r="Q17" s="43" t="str">
        <f aca="false">IF($E17="","",IF(AND(Q$4&gt;=$E17,Q$4&lt;=$F17),IF($D17="Milestone","D",1),""))</f>
        <v/>
      </c>
      <c r="R17" s="43" t="n">
        <f aca="false">IF($E17="","",IF(AND(R$4&gt;=$E17,R$4&lt;=$F17),IF($D17="Milestone","D",1),""))</f>
        <v>1</v>
      </c>
      <c r="S17" s="43" t="str">
        <f aca="false">IF($E17="","",IF(AND(S$4&gt;=$E17,S$4&lt;=$F17),IF($D17="Milestone","D",1),""))</f>
        <v/>
      </c>
      <c r="T17" s="43" t="str">
        <f aca="false">IF($E17="","",IF(AND(T$4&gt;=$E17,T$4&lt;=$F17),IF($D17="Milestone","D",1),""))</f>
        <v/>
      </c>
      <c r="U17" s="43" t="str">
        <f aca="false">IF($E17="","",IF(AND(U$4&gt;=$E17,U$4&lt;=$F17),IF($D17="Milestone","D",1),""))</f>
        <v/>
      </c>
      <c r="V17" s="43" t="str">
        <f aca="false">IF($E17="","",IF(AND(V$4&gt;=$E17,V$4&lt;=$F17),IF($D17="Milestone","D",1),""))</f>
        <v/>
      </c>
      <c r="W17" s="43" t="str">
        <f aca="false">IF($E17="","",IF(AND(W$4&gt;=$E17,W$4&lt;=$F17),IF($D17="Milestone","D",1),""))</f>
        <v/>
      </c>
      <c r="X17" s="43" t="str">
        <f aca="false">IF($E17="","",IF(AND(X$4&gt;=$E17,X$4&lt;=$F17),IF($D17="Milestone","D",1),""))</f>
        <v/>
      </c>
      <c r="Y17" s="43" t="str">
        <f aca="false">IF($E17="","",IF(AND(Y$4&gt;=$E17,Y$4&lt;=$F17),IF($D17="Milestone","D",1),""))</f>
        <v/>
      </c>
      <c r="Z17" s="43" t="str">
        <f aca="false">IF($E17="","",IF(AND(Z$4&gt;=$E17,Z$4&lt;=$F17),IF($D17="Milestone","D",1),""))</f>
        <v/>
      </c>
      <c r="AA17" s="43" t="str">
        <f aca="false">IF($E17="","",IF(AND(AA$4&gt;=$E17,AA$4&lt;=$F17),IF($D17="Milestone","D",1),""))</f>
        <v/>
      </c>
      <c r="AB17" s="43" t="str">
        <f aca="false">IF($E17="","",IF(AND(AB$4&gt;=$E17,AB$4&lt;=$F17),IF($D17="Milestone","D",1),""))</f>
        <v/>
      </c>
      <c r="AC17" s="43" t="str">
        <f aca="false">IF($E17="","",IF(AND(AC$4&gt;=$E17,AC$4&lt;=$F17),IF($D17="Milestone","D",1),""))</f>
        <v/>
      </c>
      <c r="AD17" s="43" t="str">
        <f aca="false">IF($E17="","",IF(AND(AD$4&gt;=$E17,AD$4&lt;=$F17),IF($D17="Milestone","D",1),""))</f>
        <v/>
      </c>
      <c r="AE17" s="43" t="str">
        <f aca="false">IF($E17="","",IF(AND(AE$4&gt;=$E17,AE$4&lt;=$F17),IF($D17="Milestone","D",1),""))</f>
        <v/>
      </c>
      <c r="AF17" s="43" t="str">
        <f aca="false">IF($E17="","",IF(AND(AF$4&gt;=$E17,AF$4&lt;=$F17),IF($D17="Milestone","D",1),""))</f>
        <v/>
      </c>
      <c r="AG17" s="43" t="str">
        <f aca="false">IF($E17="","",IF(AND(AG$4&gt;=$E17,AG$4&lt;=$F17),IF($D17="Milestone","D",1),""))</f>
        <v/>
      </c>
      <c r="AH17" s="43" t="str">
        <f aca="false">IF($E17="","",IF(AND(AH$4&gt;=$E17,AH$4&lt;=$F17),IF($D17="Milestone","D",1),""))</f>
        <v/>
      </c>
    </row>
    <row r="18" customFormat="false" ht="15" hidden="false" customHeight="false" outlineLevel="0" collapsed="false">
      <c r="A18" s="40" t="str">
        <f aca="false">WBS!A15</f>
        <v>PF-12</v>
      </c>
      <c r="B18" s="41" t="str">
        <f aca="false">WBS!B15</f>
        <v>Literature &amp; references</v>
      </c>
      <c r="C18" s="40" t="str">
        <f aca="false">WBS!E15</f>
        <v>ALL</v>
      </c>
      <c r="D18" s="40" t="str">
        <f aca="false">WBS!D15</f>
        <v>Formulation &amp; Docs</v>
      </c>
      <c r="E18" s="42" t="n">
        <f aca="false">WBS!L15</f>
        <v>46228</v>
      </c>
      <c r="F18" s="42" t="n">
        <f aca="false">WBS!M15</f>
        <v>46228</v>
      </c>
      <c r="G18" s="43" t="str">
        <f aca="false">IF($E18="","",IF(AND(G$4&gt;=$E18,G$4&lt;=$F18),IF($D18="Milestone","D",1),""))</f>
        <v/>
      </c>
      <c r="H18" s="43" t="str">
        <f aca="false">IF($E18="","",IF(AND(H$4&gt;=$E18,H$4&lt;=$F18),IF($D18="Milestone","D",1),""))</f>
        <v/>
      </c>
      <c r="I18" s="43" t="n">
        <f aca="false">IF($E18="","",IF(AND(I$4&gt;=$E18,I$4&lt;=$F18),IF($D18="Milestone","D",1),""))</f>
        <v>1</v>
      </c>
      <c r="J18" s="43" t="str">
        <f aca="false">IF($E18="","",IF(AND(J$4&gt;=$E18,J$4&lt;=$F18),IF($D18="Milestone","D",1),""))</f>
        <v/>
      </c>
      <c r="K18" s="43" t="str">
        <f aca="false">IF($E18="","",IF(AND(K$4&gt;=$E18,K$4&lt;=$F18),IF($D18="Milestone","D",1),""))</f>
        <v/>
      </c>
      <c r="L18" s="43" t="str">
        <f aca="false">IF($E18="","",IF(AND(L$4&gt;=$E18,L$4&lt;=$F18),IF($D18="Milestone","D",1),""))</f>
        <v/>
      </c>
      <c r="M18" s="43" t="str">
        <f aca="false">IF($E18="","",IF(AND(M$4&gt;=$E18,M$4&lt;=$F18),IF($D18="Milestone","D",1),""))</f>
        <v/>
      </c>
      <c r="N18" s="43" t="str">
        <f aca="false">IF($E18="","",IF(AND(N$4&gt;=$E18,N$4&lt;=$F18),IF($D18="Milestone","D",1),""))</f>
        <v/>
      </c>
      <c r="O18" s="43" t="str">
        <f aca="false">IF($E18="","",IF(AND(O$4&gt;=$E18,O$4&lt;=$F18),IF($D18="Milestone","D",1),""))</f>
        <v/>
      </c>
      <c r="P18" s="43" t="str">
        <f aca="false">IF($E18="","",IF(AND(P$4&gt;=$E18,P$4&lt;=$F18),IF($D18="Milestone","D",1),""))</f>
        <v/>
      </c>
      <c r="Q18" s="43" t="str">
        <f aca="false">IF($E18="","",IF(AND(Q$4&gt;=$E18,Q$4&lt;=$F18),IF($D18="Milestone","D",1),""))</f>
        <v/>
      </c>
      <c r="R18" s="43" t="str">
        <f aca="false">IF($E18="","",IF(AND(R$4&gt;=$E18,R$4&lt;=$F18),IF($D18="Milestone","D",1),""))</f>
        <v/>
      </c>
      <c r="S18" s="43" t="str">
        <f aca="false">IF($E18="","",IF(AND(S$4&gt;=$E18,S$4&lt;=$F18),IF($D18="Milestone","D",1),""))</f>
        <v/>
      </c>
      <c r="T18" s="43" t="str">
        <f aca="false">IF($E18="","",IF(AND(T$4&gt;=$E18,T$4&lt;=$F18),IF($D18="Milestone","D",1),""))</f>
        <v/>
      </c>
      <c r="U18" s="43" t="str">
        <f aca="false">IF($E18="","",IF(AND(U$4&gt;=$E18,U$4&lt;=$F18),IF($D18="Milestone","D",1),""))</f>
        <v/>
      </c>
      <c r="V18" s="43" t="str">
        <f aca="false">IF($E18="","",IF(AND(V$4&gt;=$E18,V$4&lt;=$F18),IF($D18="Milestone","D",1),""))</f>
        <v/>
      </c>
      <c r="W18" s="43" t="str">
        <f aca="false">IF($E18="","",IF(AND(W$4&gt;=$E18,W$4&lt;=$F18),IF($D18="Milestone","D",1),""))</f>
        <v/>
      </c>
      <c r="X18" s="43" t="str">
        <f aca="false">IF($E18="","",IF(AND(X$4&gt;=$E18,X$4&lt;=$F18),IF($D18="Milestone","D",1),""))</f>
        <v/>
      </c>
      <c r="Y18" s="43" t="str">
        <f aca="false">IF($E18="","",IF(AND(Y$4&gt;=$E18,Y$4&lt;=$F18),IF($D18="Milestone","D",1),""))</f>
        <v/>
      </c>
      <c r="Z18" s="43" t="str">
        <f aca="false">IF($E18="","",IF(AND(Z$4&gt;=$E18,Z$4&lt;=$F18),IF($D18="Milestone","D",1),""))</f>
        <v/>
      </c>
      <c r="AA18" s="43" t="str">
        <f aca="false">IF($E18="","",IF(AND(AA$4&gt;=$E18,AA$4&lt;=$F18),IF($D18="Milestone","D",1),""))</f>
        <v/>
      </c>
      <c r="AB18" s="43" t="str">
        <f aca="false">IF($E18="","",IF(AND(AB$4&gt;=$E18,AB$4&lt;=$F18),IF($D18="Milestone","D",1),""))</f>
        <v/>
      </c>
      <c r="AC18" s="43" t="str">
        <f aca="false">IF($E18="","",IF(AND(AC$4&gt;=$E18,AC$4&lt;=$F18),IF($D18="Milestone","D",1),""))</f>
        <v/>
      </c>
      <c r="AD18" s="43" t="str">
        <f aca="false">IF($E18="","",IF(AND(AD$4&gt;=$E18,AD$4&lt;=$F18),IF($D18="Milestone","D",1),""))</f>
        <v/>
      </c>
      <c r="AE18" s="43" t="str">
        <f aca="false">IF($E18="","",IF(AND(AE$4&gt;=$E18,AE$4&lt;=$F18),IF($D18="Milestone","D",1),""))</f>
        <v/>
      </c>
      <c r="AF18" s="43" t="str">
        <f aca="false">IF($E18="","",IF(AND(AF$4&gt;=$E18,AF$4&lt;=$F18),IF($D18="Milestone","D",1),""))</f>
        <v/>
      </c>
      <c r="AG18" s="43" t="str">
        <f aca="false">IF($E18="","",IF(AND(AG$4&gt;=$E18,AG$4&lt;=$F18),IF($D18="Milestone","D",1),""))</f>
        <v/>
      </c>
      <c r="AH18" s="43" t="str">
        <f aca="false">IF($E18="","",IF(AND(AH$4&gt;=$E18,AH$4&lt;=$F18),IF($D18="Milestone","D",1),""))</f>
        <v/>
      </c>
    </row>
    <row r="19" customFormat="false" ht="15" hidden="false" customHeight="false" outlineLevel="0" collapsed="false">
      <c r="A19" s="40" t="str">
        <f aca="false">WBS!A16</f>
        <v>PF-13</v>
      </c>
      <c r="B19" s="41" t="str">
        <f aca="false">WBS!B16</f>
        <v>Risk register</v>
      </c>
      <c r="C19" s="40" t="str">
        <f aca="false">WBS!E16</f>
        <v>ALL</v>
      </c>
      <c r="D19" s="40" t="str">
        <f aca="false">WBS!D16</f>
        <v>Formulation &amp; Docs</v>
      </c>
      <c r="E19" s="42" t="n">
        <f aca="false">WBS!L16</f>
        <v>46232</v>
      </c>
      <c r="F19" s="42" t="n">
        <f aca="false">WBS!M16</f>
        <v>46232</v>
      </c>
      <c r="G19" s="43" t="str">
        <f aca="false">IF($E19="","",IF(AND(G$4&gt;=$E19,G$4&lt;=$F19),IF($D19="Milestone","D",1),""))</f>
        <v/>
      </c>
      <c r="H19" s="43" t="str">
        <f aca="false">IF($E19="","",IF(AND(H$4&gt;=$E19,H$4&lt;=$F19),IF($D19="Milestone","D",1),""))</f>
        <v/>
      </c>
      <c r="I19" s="43" t="str">
        <f aca="false">IF($E19="","",IF(AND(I$4&gt;=$E19,I$4&lt;=$F19),IF($D19="Milestone","D",1),""))</f>
        <v/>
      </c>
      <c r="J19" s="43" t="str">
        <f aca="false">IF($E19="","",IF(AND(J$4&gt;=$E19,J$4&lt;=$F19),IF($D19="Milestone","D",1),""))</f>
        <v/>
      </c>
      <c r="K19" s="43" t="str">
        <f aca="false">IF($E19="","",IF(AND(K$4&gt;=$E19,K$4&lt;=$F19),IF($D19="Milestone","D",1),""))</f>
        <v/>
      </c>
      <c r="L19" s="43" t="str">
        <f aca="false">IF($E19="","",IF(AND(L$4&gt;=$E19,L$4&lt;=$F19),IF($D19="Milestone","D",1),""))</f>
        <v/>
      </c>
      <c r="M19" s="43" t="n">
        <f aca="false">IF($E19="","",IF(AND(M$4&gt;=$E19,M$4&lt;=$F19),IF($D19="Milestone","D",1),""))</f>
        <v>1</v>
      </c>
      <c r="N19" s="43" t="str">
        <f aca="false">IF($E19="","",IF(AND(N$4&gt;=$E19,N$4&lt;=$F19),IF($D19="Milestone","D",1),""))</f>
        <v/>
      </c>
      <c r="O19" s="43" t="str">
        <f aca="false">IF($E19="","",IF(AND(O$4&gt;=$E19,O$4&lt;=$F19),IF($D19="Milestone","D",1),""))</f>
        <v/>
      </c>
      <c r="P19" s="43" t="str">
        <f aca="false">IF($E19="","",IF(AND(P$4&gt;=$E19,P$4&lt;=$F19),IF($D19="Milestone","D",1),""))</f>
        <v/>
      </c>
      <c r="Q19" s="43" t="str">
        <f aca="false">IF($E19="","",IF(AND(Q$4&gt;=$E19,Q$4&lt;=$F19),IF($D19="Milestone","D",1),""))</f>
        <v/>
      </c>
      <c r="R19" s="43" t="str">
        <f aca="false">IF($E19="","",IF(AND(R$4&gt;=$E19,R$4&lt;=$F19),IF($D19="Milestone","D",1),""))</f>
        <v/>
      </c>
      <c r="S19" s="43" t="str">
        <f aca="false">IF($E19="","",IF(AND(S$4&gt;=$E19,S$4&lt;=$F19),IF($D19="Milestone","D",1),""))</f>
        <v/>
      </c>
      <c r="T19" s="43" t="str">
        <f aca="false">IF($E19="","",IF(AND(T$4&gt;=$E19,T$4&lt;=$F19),IF($D19="Milestone","D",1),""))</f>
        <v/>
      </c>
      <c r="U19" s="43" t="str">
        <f aca="false">IF($E19="","",IF(AND(U$4&gt;=$E19,U$4&lt;=$F19),IF($D19="Milestone","D",1),""))</f>
        <v/>
      </c>
      <c r="V19" s="43" t="str">
        <f aca="false">IF($E19="","",IF(AND(V$4&gt;=$E19,V$4&lt;=$F19),IF($D19="Milestone","D",1),""))</f>
        <v/>
      </c>
      <c r="W19" s="43" t="str">
        <f aca="false">IF($E19="","",IF(AND(W$4&gt;=$E19,W$4&lt;=$F19),IF($D19="Milestone","D",1),""))</f>
        <v/>
      </c>
      <c r="X19" s="43" t="str">
        <f aca="false">IF($E19="","",IF(AND(X$4&gt;=$E19,X$4&lt;=$F19),IF($D19="Milestone","D",1),""))</f>
        <v/>
      </c>
      <c r="Y19" s="43" t="str">
        <f aca="false">IF($E19="","",IF(AND(Y$4&gt;=$E19,Y$4&lt;=$F19),IF($D19="Milestone","D",1),""))</f>
        <v/>
      </c>
      <c r="Z19" s="43" t="str">
        <f aca="false">IF($E19="","",IF(AND(Z$4&gt;=$E19,Z$4&lt;=$F19),IF($D19="Milestone","D",1),""))</f>
        <v/>
      </c>
      <c r="AA19" s="43" t="str">
        <f aca="false">IF($E19="","",IF(AND(AA$4&gt;=$E19,AA$4&lt;=$F19),IF($D19="Milestone","D",1),""))</f>
        <v/>
      </c>
      <c r="AB19" s="43" t="str">
        <f aca="false">IF($E19="","",IF(AND(AB$4&gt;=$E19,AB$4&lt;=$F19),IF($D19="Milestone","D",1),""))</f>
        <v/>
      </c>
      <c r="AC19" s="43" t="str">
        <f aca="false">IF($E19="","",IF(AND(AC$4&gt;=$E19,AC$4&lt;=$F19),IF($D19="Milestone","D",1),""))</f>
        <v/>
      </c>
      <c r="AD19" s="43" t="str">
        <f aca="false">IF($E19="","",IF(AND(AD$4&gt;=$E19,AD$4&lt;=$F19),IF($D19="Milestone","D",1),""))</f>
        <v/>
      </c>
      <c r="AE19" s="43" t="str">
        <f aca="false">IF($E19="","",IF(AND(AE$4&gt;=$E19,AE$4&lt;=$F19),IF($D19="Milestone","D",1),""))</f>
        <v/>
      </c>
      <c r="AF19" s="43" t="str">
        <f aca="false">IF($E19="","",IF(AND(AF$4&gt;=$E19,AF$4&lt;=$F19),IF($D19="Milestone","D",1),""))</f>
        <v/>
      </c>
      <c r="AG19" s="43" t="str">
        <f aca="false">IF($E19="","",IF(AND(AG$4&gt;=$E19,AG$4&lt;=$F19),IF($D19="Milestone","D",1),""))</f>
        <v/>
      </c>
      <c r="AH19" s="43" t="str">
        <f aca="false">IF($E19="","",IF(AND(AH$4&gt;=$E19,AH$4&lt;=$F19),IF($D19="Milestone","D",1),""))</f>
        <v/>
      </c>
    </row>
    <row r="20" customFormat="false" ht="15" hidden="false" customHeight="false" outlineLevel="0" collapsed="false">
      <c r="A20" s="40" t="str">
        <f aca="false">WBS!A17</f>
        <v>PF-14</v>
      </c>
      <c r="B20" s="41" t="str">
        <f aca="false">WBS!B17</f>
        <v>Test &amp; validation plan</v>
      </c>
      <c r="C20" s="40" t="str">
        <f aca="false">WBS!E17</f>
        <v>Dejan</v>
      </c>
      <c r="D20" s="40" t="str">
        <f aca="false">WBS!D17</f>
        <v>Formulation &amp; Docs</v>
      </c>
      <c r="E20" s="42" t="n">
        <f aca="false">WBS!L17</f>
        <v>46233</v>
      </c>
      <c r="F20" s="42" t="n">
        <f aca="false">WBS!M17</f>
        <v>46233</v>
      </c>
      <c r="G20" s="43" t="str">
        <f aca="false">IF($E20="","",IF(AND(G$4&gt;=$E20,G$4&lt;=$F20),IF($D20="Milestone","D",1),""))</f>
        <v/>
      </c>
      <c r="H20" s="43" t="str">
        <f aca="false">IF($E20="","",IF(AND(H$4&gt;=$E20,H$4&lt;=$F20),IF($D20="Milestone","D",1),""))</f>
        <v/>
      </c>
      <c r="I20" s="43" t="str">
        <f aca="false">IF($E20="","",IF(AND(I$4&gt;=$E20,I$4&lt;=$F20),IF($D20="Milestone","D",1),""))</f>
        <v/>
      </c>
      <c r="J20" s="43" t="str">
        <f aca="false">IF($E20="","",IF(AND(J$4&gt;=$E20,J$4&lt;=$F20),IF($D20="Milestone","D",1),""))</f>
        <v/>
      </c>
      <c r="K20" s="43" t="str">
        <f aca="false">IF($E20="","",IF(AND(K$4&gt;=$E20,K$4&lt;=$F20),IF($D20="Milestone","D",1),""))</f>
        <v/>
      </c>
      <c r="L20" s="43" t="str">
        <f aca="false">IF($E20="","",IF(AND(L$4&gt;=$E20,L$4&lt;=$F20),IF($D20="Milestone","D",1),""))</f>
        <v/>
      </c>
      <c r="M20" s="43" t="str">
        <f aca="false">IF($E20="","",IF(AND(M$4&gt;=$E20,M$4&lt;=$F20),IF($D20="Milestone","D",1),""))</f>
        <v/>
      </c>
      <c r="N20" s="43" t="n">
        <f aca="false">IF($E20="","",IF(AND(N$4&gt;=$E20,N$4&lt;=$F20),IF($D20="Milestone","D",1),""))</f>
        <v>1</v>
      </c>
      <c r="O20" s="43" t="str">
        <f aca="false">IF($E20="","",IF(AND(O$4&gt;=$E20,O$4&lt;=$F20),IF($D20="Milestone","D",1),""))</f>
        <v/>
      </c>
      <c r="P20" s="43" t="str">
        <f aca="false">IF($E20="","",IF(AND(P$4&gt;=$E20,P$4&lt;=$F20),IF($D20="Milestone","D",1),""))</f>
        <v/>
      </c>
      <c r="Q20" s="43" t="str">
        <f aca="false">IF($E20="","",IF(AND(Q$4&gt;=$E20,Q$4&lt;=$F20),IF($D20="Milestone","D",1),""))</f>
        <v/>
      </c>
      <c r="R20" s="43" t="str">
        <f aca="false">IF($E20="","",IF(AND(R$4&gt;=$E20,R$4&lt;=$F20),IF($D20="Milestone","D",1),""))</f>
        <v/>
      </c>
      <c r="S20" s="43" t="str">
        <f aca="false">IF($E20="","",IF(AND(S$4&gt;=$E20,S$4&lt;=$F20),IF($D20="Milestone","D",1),""))</f>
        <v/>
      </c>
      <c r="T20" s="43" t="str">
        <f aca="false">IF($E20="","",IF(AND(T$4&gt;=$E20,T$4&lt;=$F20),IF($D20="Milestone","D",1),""))</f>
        <v/>
      </c>
      <c r="U20" s="43" t="str">
        <f aca="false">IF($E20="","",IF(AND(U$4&gt;=$E20,U$4&lt;=$F20),IF($D20="Milestone","D",1),""))</f>
        <v/>
      </c>
      <c r="V20" s="43" t="str">
        <f aca="false">IF($E20="","",IF(AND(V$4&gt;=$E20,V$4&lt;=$F20),IF($D20="Milestone","D",1),""))</f>
        <v/>
      </c>
      <c r="W20" s="43" t="str">
        <f aca="false">IF($E20="","",IF(AND(W$4&gt;=$E20,W$4&lt;=$F20),IF($D20="Milestone","D",1),""))</f>
        <v/>
      </c>
      <c r="X20" s="43" t="str">
        <f aca="false">IF($E20="","",IF(AND(X$4&gt;=$E20,X$4&lt;=$F20),IF($D20="Milestone","D",1),""))</f>
        <v/>
      </c>
      <c r="Y20" s="43" t="str">
        <f aca="false">IF($E20="","",IF(AND(Y$4&gt;=$E20,Y$4&lt;=$F20),IF($D20="Milestone","D",1),""))</f>
        <v/>
      </c>
      <c r="Z20" s="43" t="str">
        <f aca="false">IF($E20="","",IF(AND(Z$4&gt;=$E20,Z$4&lt;=$F20),IF($D20="Milestone","D",1),""))</f>
        <v/>
      </c>
      <c r="AA20" s="43" t="str">
        <f aca="false">IF($E20="","",IF(AND(AA$4&gt;=$E20,AA$4&lt;=$F20),IF($D20="Milestone","D",1),""))</f>
        <v/>
      </c>
      <c r="AB20" s="43" t="str">
        <f aca="false">IF($E20="","",IF(AND(AB$4&gt;=$E20,AB$4&lt;=$F20),IF($D20="Milestone","D",1),""))</f>
        <v/>
      </c>
      <c r="AC20" s="43" t="str">
        <f aca="false">IF($E20="","",IF(AND(AC$4&gt;=$E20,AC$4&lt;=$F20),IF($D20="Milestone","D",1),""))</f>
        <v/>
      </c>
      <c r="AD20" s="43" t="str">
        <f aca="false">IF($E20="","",IF(AND(AD$4&gt;=$E20,AD$4&lt;=$F20),IF($D20="Milestone","D",1),""))</f>
        <v/>
      </c>
      <c r="AE20" s="43" t="str">
        <f aca="false">IF($E20="","",IF(AND(AE$4&gt;=$E20,AE$4&lt;=$F20),IF($D20="Milestone","D",1),""))</f>
        <v/>
      </c>
      <c r="AF20" s="43" t="str">
        <f aca="false">IF($E20="","",IF(AND(AF$4&gt;=$E20,AF$4&lt;=$F20),IF($D20="Milestone","D",1),""))</f>
        <v/>
      </c>
      <c r="AG20" s="43" t="str">
        <f aca="false">IF($E20="","",IF(AND(AG$4&gt;=$E20,AG$4&lt;=$F20),IF($D20="Milestone","D",1),""))</f>
        <v/>
      </c>
      <c r="AH20" s="43" t="str">
        <f aca="false">IF($E20="","",IF(AND(AH$4&gt;=$E20,AH$4&lt;=$F20),IF($D20="Milestone","D",1),""))</f>
        <v/>
      </c>
    </row>
    <row r="21" customFormat="false" ht="15" hidden="false" customHeight="false" outlineLevel="0" collapsed="false">
      <c r="A21" s="40" t="str">
        <f aca="false">WBS!A18</f>
        <v>PF-15</v>
      </c>
      <c r="B21" s="41" t="str">
        <f aca="false">WBS!B18</f>
        <v>System-ID plan</v>
      </c>
      <c r="C21" s="40" t="str">
        <f aca="false">WBS!E18</f>
        <v>Dejan</v>
      </c>
      <c r="D21" s="40" t="str">
        <f aca="false">WBS!D18</f>
        <v>Formulation &amp; Docs</v>
      </c>
      <c r="E21" s="42" t="n">
        <f aca="false">WBS!L18</f>
        <v>46231</v>
      </c>
      <c r="F21" s="42" t="n">
        <f aca="false">WBS!M18</f>
        <v>46231</v>
      </c>
      <c r="G21" s="43" t="str">
        <f aca="false">IF($E21="","",IF(AND(G$4&gt;=$E21,G$4&lt;=$F21),IF($D21="Milestone","D",1),""))</f>
        <v/>
      </c>
      <c r="H21" s="43" t="str">
        <f aca="false">IF($E21="","",IF(AND(H$4&gt;=$E21,H$4&lt;=$F21),IF($D21="Milestone","D",1),""))</f>
        <v/>
      </c>
      <c r="I21" s="43" t="str">
        <f aca="false">IF($E21="","",IF(AND(I$4&gt;=$E21,I$4&lt;=$F21),IF($D21="Milestone","D",1),""))</f>
        <v/>
      </c>
      <c r="J21" s="43" t="str">
        <f aca="false">IF($E21="","",IF(AND(J$4&gt;=$E21,J$4&lt;=$F21),IF($D21="Milestone","D",1),""))</f>
        <v/>
      </c>
      <c r="K21" s="43" t="str">
        <f aca="false">IF($E21="","",IF(AND(K$4&gt;=$E21,K$4&lt;=$F21),IF($D21="Milestone","D",1),""))</f>
        <v/>
      </c>
      <c r="L21" s="43" t="n">
        <f aca="false">IF($E21="","",IF(AND(L$4&gt;=$E21,L$4&lt;=$F21),IF($D21="Milestone","D",1),""))</f>
        <v>1</v>
      </c>
      <c r="M21" s="43" t="str">
        <f aca="false">IF($E21="","",IF(AND(M$4&gt;=$E21,M$4&lt;=$F21),IF($D21="Milestone","D",1),""))</f>
        <v/>
      </c>
      <c r="N21" s="43" t="str">
        <f aca="false">IF($E21="","",IF(AND(N$4&gt;=$E21,N$4&lt;=$F21),IF($D21="Milestone","D",1),""))</f>
        <v/>
      </c>
      <c r="O21" s="43" t="str">
        <f aca="false">IF($E21="","",IF(AND(O$4&gt;=$E21,O$4&lt;=$F21),IF($D21="Milestone","D",1),""))</f>
        <v/>
      </c>
      <c r="P21" s="43" t="str">
        <f aca="false">IF($E21="","",IF(AND(P$4&gt;=$E21,P$4&lt;=$F21),IF($D21="Milestone","D",1),""))</f>
        <v/>
      </c>
      <c r="Q21" s="43" t="str">
        <f aca="false">IF($E21="","",IF(AND(Q$4&gt;=$E21,Q$4&lt;=$F21),IF($D21="Milestone","D",1),""))</f>
        <v/>
      </c>
      <c r="R21" s="43" t="str">
        <f aca="false">IF($E21="","",IF(AND(R$4&gt;=$E21,R$4&lt;=$F21),IF($D21="Milestone","D",1),""))</f>
        <v/>
      </c>
      <c r="S21" s="43" t="str">
        <f aca="false">IF($E21="","",IF(AND(S$4&gt;=$E21,S$4&lt;=$F21),IF($D21="Milestone","D",1),""))</f>
        <v/>
      </c>
      <c r="T21" s="43" t="str">
        <f aca="false">IF($E21="","",IF(AND(T$4&gt;=$E21,T$4&lt;=$F21),IF($D21="Milestone","D",1),""))</f>
        <v/>
      </c>
      <c r="U21" s="43" t="str">
        <f aca="false">IF($E21="","",IF(AND(U$4&gt;=$E21,U$4&lt;=$F21),IF($D21="Milestone","D",1),""))</f>
        <v/>
      </c>
      <c r="V21" s="43" t="str">
        <f aca="false">IF($E21="","",IF(AND(V$4&gt;=$E21,V$4&lt;=$F21),IF($D21="Milestone","D",1),""))</f>
        <v/>
      </c>
      <c r="W21" s="43" t="str">
        <f aca="false">IF($E21="","",IF(AND(W$4&gt;=$E21,W$4&lt;=$F21),IF($D21="Milestone","D",1),""))</f>
        <v/>
      </c>
      <c r="X21" s="43" t="str">
        <f aca="false">IF($E21="","",IF(AND(X$4&gt;=$E21,X$4&lt;=$F21),IF($D21="Milestone","D",1),""))</f>
        <v/>
      </c>
      <c r="Y21" s="43" t="str">
        <f aca="false">IF($E21="","",IF(AND(Y$4&gt;=$E21,Y$4&lt;=$F21),IF($D21="Milestone","D",1),""))</f>
        <v/>
      </c>
      <c r="Z21" s="43" t="str">
        <f aca="false">IF($E21="","",IF(AND(Z$4&gt;=$E21,Z$4&lt;=$F21),IF($D21="Milestone","D",1),""))</f>
        <v/>
      </c>
      <c r="AA21" s="43" t="str">
        <f aca="false">IF($E21="","",IF(AND(AA$4&gt;=$E21,AA$4&lt;=$F21),IF($D21="Milestone","D",1),""))</f>
        <v/>
      </c>
      <c r="AB21" s="43" t="str">
        <f aca="false">IF($E21="","",IF(AND(AB$4&gt;=$E21,AB$4&lt;=$F21),IF($D21="Milestone","D",1),""))</f>
        <v/>
      </c>
      <c r="AC21" s="43" t="str">
        <f aca="false">IF($E21="","",IF(AND(AC$4&gt;=$E21,AC$4&lt;=$F21),IF($D21="Milestone","D",1),""))</f>
        <v/>
      </c>
      <c r="AD21" s="43" t="str">
        <f aca="false">IF($E21="","",IF(AND(AD$4&gt;=$E21,AD$4&lt;=$F21),IF($D21="Milestone","D",1),""))</f>
        <v/>
      </c>
      <c r="AE21" s="43" t="str">
        <f aca="false">IF($E21="","",IF(AND(AE$4&gt;=$E21,AE$4&lt;=$F21),IF($D21="Milestone","D",1),""))</f>
        <v/>
      </c>
      <c r="AF21" s="43" t="str">
        <f aca="false">IF($E21="","",IF(AND(AF$4&gt;=$E21,AF$4&lt;=$F21),IF($D21="Milestone","D",1),""))</f>
        <v/>
      </c>
      <c r="AG21" s="43" t="str">
        <f aca="false">IF($E21="","",IF(AND(AG$4&gt;=$E21,AG$4&lt;=$F21),IF($D21="Milestone","D",1),""))</f>
        <v/>
      </c>
      <c r="AH21" s="43" t="str">
        <f aca="false">IF($E21="","",IF(AND(AH$4&gt;=$E21,AH$4&lt;=$F21),IF($D21="Milestone","D",1),""))</f>
        <v/>
      </c>
    </row>
    <row r="22" customFormat="false" ht="15" hidden="false" customHeight="false" outlineLevel="0" collapsed="false">
      <c r="A22" s="40" t="str">
        <f aca="false">WBS!A19</f>
        <v>PF-16</v>
      </c>
      <c r="B22" s="41" t="str">
        <f aca="false">WBS!B19</f>
        <v>Model update - real params</v>
      </c>
      <c r="C22" s="40" t="str">
        <f aca="false">WBS!E19</f>
        <v>Dejan</v>
      </c>
      <c r="D22" s="40" t="str">
        <f aca="false">WBS!D19</f>
        <v>Formulation &amp; Docs</v>
      </c>
      <c r="E22" s="42" t="n">
        <f aca="false">WBS!L19</f>
        <v>46237</v>
      </c>
      <c r="F22" s="42" t="n">
        <f aca="false">WBS!M19</f>
        <v>46238</v>
      </c>
      <c r="G22" s="43" t="str">
        <f aca="false">IF($E22="","",IF(AND(G$4&gt;=$E22,G$4&lt;=$F22),IF($D22="Milestone","D",1),""))</f>
        <v/>
      </c>
      <c r="H22" s="43" t="str">
        <f aca="false">IF($E22="","",IF(AND(H$4&gt;=$E22,H$4&lt;=$F22),IF($D22="Milestone","D",1),""))</f>
        <v/>
      </c>
      <c r="I22" s="43" t="str">
        <f aca="false">IF($E22="","",IF(AND(I$4&gt;=$E22,I$4&lt;=$F22),IF($D22="Milestone","D",1),""))</f>
        <v/>
      </c>
      <c r="J22" s="43" t="str">
        <f aca="false">IF($E22="","",IF(AND(J$4&gt;=$E22,J$4&lt;=$F22),IF($D22="Milestone","D",1),""))</f>
        <v/>
      </c>
      <c r="K22" s="43" t="str">
        <f aca="false">IF($E22="","",IF(AND(K$4&gt;=$E22,K$4&lt;=$F22),IF($D22="Milestone","D",1),""))</f>
        <v/>
      </c>
      <c r="L22" s="43" t="str">
        <f aca="false">IF($E22="","",IF(AND(L$4&gt;=$E22,L$4&lt;=$F22),IF($D22="Milestone","D",1),""))</f>
        <v/>
      </c>
      <c r="M22" s="43" t="str">
        <f aca="false">IF($E22="","",IF(AND(M$4&gt;=$E22,M$4&lt;=$F22),IF($D22="Milestone","D",1),""))</f>
        <v/>
      </c>
      <c r="N22" s="43" t="str">
        <f aca="false">IF($E22="","",IF(AND(N$4&gt;=$E22,N$4&lt;=$F22),IF($D22="Milestone","D",1),""))</f>
        <v/>
      </c>
      <c r="O22" s="43" t="str">
        <f aca="false">IF($E22="","",IF(AND(O$4&gt;=$E22,O$4&lt;=$F22),IF($D22="Milestone","D",1),""))</f>
        <v/>
      </c>
      <c r="P22" s="43" t="str">
        <f aca="false">IF($E22="","",IF(AND(P$4&gt;=$E22,P$4&lt;=$F22),IF($D22="Milestone","D",1),""))</f>
        <v/>
      </c>
      <c r="Q22" s="43" t="str">
        <f aca="false">IF($E22="","",IF(AND(Q$4&gt;=$E22,Q$4&lt;=$F22),IF($D22="Milestone","D",1),""))</f>
        <v/>
      </c>
      <c r="R22" s="43" t="n">
        <f aca="false">IF($E22="","",IF(AND(R$4&gt;=$E22,R$4&lt;=$F22),IF($D22="Milestone","D",1),""))</f>
        <v>1</v>
      </c>
      <c r="S22" s="43" t="n">
        <f aca="false">IF($E22="","",IF(AND(S$4&gt;=$E22,S$4&lt;=$F22),IF($D22="Milestone","D",1),""))</f>
        <v>1</v>
      </c>
      <c r="T22" s="43" t="str">
        <f aca="false">IF($E22="","",IF(AND(T$4&gt;=$E22,T$4&lt;=$F22),IF($D22="Milestone","D",1),""))</f>
        <v/>
      </c>
      <c r="U22" s="43" t="str">
        <f aca="false">IF($E22="","",IF(AND(U$4&gt;=$E22,U$4&lt;=$F22),IF($D22="Milestone","D",1),""))</f>
        <v/>
      </c>
      <c r="V22" s="43" t="str">
        <f aca="false">IF($E22="","",IF(AND(V$4&gt;=$E22,V$4&lt;=$F22),IF($D22="Milestone","D",1),""))</f>
        <v/>
      </c>
      <c r="W22" s="43" t="str">
        <f aca="false">IF($E22="","",IF(AND(W$4&gt;=$E22,W$4&lt;=$F22),IF($D22="Milestone","D",1),""))</f>
        <v/>
      </c>
      <c r="X22" s="43" t="str">
        <f aca="false">IF($E22="","",IF(AND(X$4&gt;=$E22,X$4&lt;=$F22),IF($D22="Milestone","D",1),""))</f>
        <v/>
      </c>
      <c r="Y22" s="43" t="str">
        <f aca="false">IF($E22="","",IF(AND(Y$4&gt;=$E22,Y$4&lt;=$F22),IF($D22="Milestone","D",1),""))</f>
        <v/>
      </c>
      <c r="Z22" s="43" t="str">
        <f aca="false">IF($E22="","",IF(AND(Z$4&gt;=$E22,Z$4&lt;=$F22),IF($D22="Milestone","D",1),""))</f>
        <v/>
      </c>
      <c r="AA22" s="43" t="str">
        <f aca="false">IF($E22="","",IF(AND(AA$4&gt;=$E22,AA$4&lt;=$F22),IF($D22="Milestone","D",1),""))</f>
        <v/>
      </c>
      <c r="AB22" s="43" t="str">
        <f aca="false">IF($E22="","",IF(AND(AB$4&gt;=$E22,AB$4&lt;=$F22),IF($D22="Milestone","D",1),""))</f>
        <v/>
      </c>
      <c r="AC22" s="43" t="str">
        <f aca="false">IF($E22="","",IF(AND(AC$4&gt;=$E22,AC$4&lt;=$F22),IF($D22="Milestone","D",1),""))</f>
        <v/>
      </c>
      <c r="AD22" s="43" t="str">
        <f aca="false">IF($E22="","",IF(AND(AD$4&gt;=$E22,AD$4&lt;=$F22),IF($D22="Milestone","D",1),""))</f>
        <v/>
      </c>
      <c r="AE22" s="43" t="str">
        <f aca="false">IF($E22="","",IF(AND(AE$4&gt;=$E22,AE$4&lt;=$F22),IF($D22="Milestone","D",1),""))</f>
        <v/>
      </c>
      <c r="AF22" s="43" t="str">
        <f aca="false">IF($E22="","",IF(AND(AF$4&gt;=$E22,AF$4&lt;=$F22),IF($D22="Milestone","D",1),""))</f>
        <v/>
      </c>
      <c r="AG22" s="43" t="str">
        <f aca="false">IF($E22="","",IF(AND(AG$4&gt;=$E22,AG$4&lt;=$F22),IF($D22="Milestone","D",1),""))</f>
        <v/>
      </c>
      <c r="AH22" s="43" t="str">
        <f aca="false">IF($E22="","",IF(AND(AH$4&gt;=$E22,AH$4&lt;=$F22),IF($D22="Milestone","D",1),""))</f>
        <v/>
      </c>
    </row>
    <row r="23" customFormat="false" ht="15" hidden="false" customHeight="false" outlineLevel="0" collapsed="false">
      <c r="A23" s="40" t="str">
        <f aca="false">WBS!A20</f>
        <v>PF-17a</v>
      </c>
      <c r="B23" s="41" t="str">
        <f aca="false">WBS!B20</f>
        <v>Progress note #1</v>
      </c>
      <c r="C23" s="40" t="str">
        <f aca="false">WBS!E20</f>
        <v>ALL</v>
      </c>
      <c r="D23" s="40" t="str">
        <f aca="false">WBS!D20</f>
        <v>Formulation &amp; Docs</v>
      </c>
      <c r="E23" s="42" t="n">
        <f aca="false">WBS!L20</f>
        <v>46243</v>
      </c>
      <c r="F23" s="42" t="n">
        <f aca="false">WBS!M20</f>
        <v>46243</v>
      </c>
      <c r="G23" s="43" t="str">
        <f aca="false">IF($E23="","",IF(AND(G$4&gt;=$E23,G$4&lt;=$F23),IF($D23="Milestone","D",1),""))</f>
        <v/>
      </c>
      <c r="H23" s="43" t="str">
        <f aca="false">IF($E23="","",IF(AND(H$4&gt;=$E23,H$4&lt;=$F23),IF($D23="Milestone","D",1),""))</f>
        <v/>
      </c>
      <c r="I23" s="43" t="str">
        <f aca="false">IF($E23="","",IF(AND(I$4&gt;=$E23,I$4&lt;=$F23),IF($D23="Milestone","D",1),""))</f>
        <v/>
      </c>
      <c r="J23" s="43" t="str">
        <f aca="false">IF($E23="","",IF(AND(J$4&gt;=$E23,J$4&lt;=$F23),IF($D23="Milestone","D",1),""))</f>
        <v/>
      </c>
      <c r="K23" s="43" t="str">
        <f aca="false">IF($E23="","",IF(AND(K$4&gt;=$E23,K$4&lt;=$F23),IF($D23="Milestone","D",1),""))</f>
        <v/>
      </c>
      <c r="L23" s="43" t="str">
        <f aca="false">IF($E23="","",IF(AND(L$4&gt;=$E23,L$4&lt;=$F23),IF($D23="Milestone","D",1),""))</f>
        <v/>
      </c>
      <c r="M23" s="43" t="str">
        <f aca="false">IF($E23="","",IF(AND(M$4&gt;=$E23,M$4&lt;=$F23),IF($D23="Milestone","D",1),""))</f>
        <v/>
      </c>
      <c r="N23" s="43" t="str">
        <f aca="false">IF($E23="","",IF(AND(N$4&gt;=$E23,N$4&lt;=$F23),IF($D23="Milestone","D",1),""))</f>
        <v/>
      </c>
      <c r="O23" s="43" t="str">
        <f aca="false">IF($E23="","",IF(AND(O$4&gt;=$E23,O$4&lt;=$F23),IF($D23="Milestone","D",1),""))</f>
        <v/>
      </c>
      <c r="P23" s="43" t="str">
        <f aca="false">IF($E23="","",IF(AND(P$4&gt;=$E23,P$4&lt;=$F23),IF($D23="Milestone","D",1),""))</f>
        <v/>
      </c>
      <c r="Q23" s="43" t="str">
        <f aca="false">IF($E23="","",IF(AND(Q$4&gt;=$E23,Q$4&lt;=$F23),IF($D23="Milestone","D",1),""))</f>
        <v/>
      </c>
      <c r="R23" s="43" t="str">
        <f aca="false">IF($E23="","",IF(AND(R$4&gt;=$E23,R$4&lt;=$F23),IF($D23="Milestone","D",1),""))</f>
        <v/>
      </c>
      <c r="S23" s="43" t="str">
        <f aca="false">IF($E23="","",IF(AND(S$4&gt;=$E23,S$4&lt;=$F23),IF($D23="Milestone","D",1),""))</f>
        <v/>
      </c>
      <c r="T23" s="43" t="str">
        <f aca="false">IF($E23="","",IF(AND(T$4&gt;=$E23,T$4&lt;=$F23),IF($D23="Milestone","D",1),""))</f>
        <v/>
      </c>
      <c r="U23" s="43" t="str">
        <f aca="false">IF($E23="","",IF(AND(U$4&gt;=$E23,U$4&lt;=$F23),IF($D23="Milestone","D",1),""))</f>
        <v/>
      </c>
      <c r="V23" s="43" t="str">
        <f aca="false">IF($E23="","",IF(AND(V$4&gt;=$E23,V$4&lt;=$F23),IF($D23="Milestone","D",1),""))</f>
        <v/>
      </c>
      <c r="W23" s="43" t="str">
        <f aca="false">IF($E23="","",IF(AND(W$4&gt;=$E23,W$4&lt;=$F23),IF($D23="Milestone","D",1),""))</f>
        <v/>
      </c>
      <c r="X23" s="43" t="n">
        <f aca="false">IF($E23="","",IF(AND(X$4&gt;=$E23,X$4&lt;=$F23),IF($D23="Milestone","D",1),""))</f>
        <v>1</v>
      </c>
      <c r="Y23" s="43" t="str">
        <f aca="false">IF($E23="","",IF(AND(Y$4&gt;=$E23,Y$4&lt;=$F23),IF($D23="Milestone","D",1),""))</f>
        <v/>
      </c>
      <c r="Z23" s="43" t="str">
        <f aca="false">IF($E23="","",IF(AND(Z$4&gt;=$E23,Z$4&lt;=$F23),IF($D23="Milestone","D",1),""))</f>
        <v/>
      </c>
      <c r="AA23" s="43" t="str">
        <f aca="false">IF($E23="","",IF(AND(AA$4&gt;=$E23,AA$4&lt;=$F23),IF($D23="Milestone","D",1),""))</f>
        <v/>
      </c>
      <c r="AB23" s="43" t="str">
        <f aca="false">IF($E23="","",IF(AND(AB$4&gt;=$E23,AB$4&lt;=$F23),IF($D23="Milestone","D",1),""))</f>
        <v/>
      </c>
      <c r="AC23" s="43" t="str">
        <f aca="false">IF($E23="","",IF(AND(AC$4&gt;=$E23,AC$4&lt;=$F23),IF($D23="Milestone","D",1),""))</f>
        <v/>
      </c>
      <c r="AD23" s="43" t="str">
        <f aca="false">IF($E23="","",IF(AND(AD$4&gt;=$E23,AD$4&lt;=$F23),IF($D23="Milestone","D",1),""))</f>
        <v/>
      </c>
      <c r="AE23" s="43" t="str">
        <f aca="false">IF($E23="","",IF(AND(AE$4&gt;=$E23,AE$4&lt;=$F23),IF($D23="Milestone","D",1),""))</f>
        <v/>
      </c>
      <c r="AF23" s="43" t="str">
        <f aca="false">IF($E23="","",IF(AND(AF$4&gt;=$E23,AF$4&lt;=$F23),IF($D23="Milestone","D",1),""))</f>
        <v/>
      </c>
      <c r="AG23" s="43" t="str">
        <f aca="false">IF($E23="","",IF(AND(AG$4&gt;=$E23,AG$4&lt;=$F23),IF($D23="Milestone","D",1),""))</f>
        <v/>
      </c>
      <c r="AH23" s="43" t="str">
        <f aca="false">IF($E23="","",IF(AND(AH$4&gt;=$E23,AH$4&lt;=$F23),IF($D23="Milestone","D",1),""))</f>
        <v/>
      </c>
    </row>
    <row r="24" customFormat="false" ht="15" hidden="false" customHeight="false" outlineLevel="0" collapsed="false">
      <c r="A24" s="40" t="str">
        <f aca="false">WBS!A21</f>
        <v>PF-17b</v>
      </c>
      <c r="B24" s="41" t="str">
        <f aca="false">WBS!B21</f>
        <v>Progress note #2</v>
      </c>
      <c r="C24" s="40" t="str">
        <f aca="false">WBS!E21</f>
        <v>ALL</v>
      </c>
      <c r="D24" s="40" t="str">
        <f aca="false">WBS!D21</f>
        <v>Formulation &amp; Docs</v>
      </c>
      <c r="E24" s="42" t="n">
        <f aca="false">WBS!L21</f>
        <v>46250</v>
      </c>
      <c r="F24" s="42" t="n">
        <f aca="false">WBS!M21</f>
        <v>46250</v>
      </c>
      <c r="G24" s="43" t="str">
        <f aca="false">IF($E24="","",IF(AND(G$4&gt;=$E24,G$4&lt;=$F24),IF($D24="Milestone","D",1),""))</f>
        <v/>
      </c>
      <c r="H24" s="43" t="str">
        <f aca="false">IF($E24="","",IF(AND(H$4&gt;=$E24,H$4&lt;=$F24),IF($D24="Milestone","D",1),""))</f>
        <v/>
      </c>
      <c r="I24" s="43" t="str">
        <f aca="false">IF($E24="","",IF(AND(I$4&gt;=$E24,I$4&lt;=$F24),IF($D24="Milestone","D",1),""))</f>
        <v/>
      </c>
      <c r="J24" s="43" t="str">
        <f aca="false">IF($E24="","",IF(AND(J$4&gt;=$E24,J$4&lt;=$F24),IF($D24="Milestone","D",1),""))</f>
        <v/>
      </c>
      <c r="K24" s="43" t="str">
        <f aca="false">IF($E24="","",IF(AND(K$4&gt;=$E24,K$4&lt;=$F24),IF($D24="Milestone","D",1),""))</f>
        <v/>
      </c>
      <c r="L24" s="43" t="str">
        <f aca="false">IF($E24="","",IF(AND(L$4&gt;=$E24,L$4&lt;=$F24),IF($D24="Milestone","D",1),""))</f>
        <v/>
      </c>
      <c r="M24" s="43" t="str">
        <f aca="false">IF($E24="","",IF(AND(M$4&gt;=$E24,M$4&lt;=$F24),IF($D24="Milestone","D",1),""))</f>
        <v/>
      </c>
      <c r="N24" s="43" t="str">
        <f aca="false">IF($E24="","",IF(AND(N$4&gt;=$E24,N$4&lt;=$F24),IF($D24="Milestone","D",1),""))</f>
        <v/>
      </c>
      <c r="O24" s="43" t="str">
        <f aca="false">IF($E24="","",IF(AND(O$4&gt;=$E24,O$4&lt;=$F24),IF($D24="Milestone","D",1),""))</f>
        <v/>
      </c>
      <c r="P24" s="43" t="str">
        <f aca="false">IF($E24="","",IF(AND(P$4&gt;=$E24,P$4&lt;=$F24),IF($D24="Milestone","D",1),""))</f>
        <v/>
      </c>
      <c r="Q24" s="43" t="str">
        <f aca="false">IF($E24="","",IF(AND(Q$4&gt;=$E24,Q$4&lt;=$F24),IF($D24="Milestone","D",1),""))</f>
        <v/>
      </c>
      <c r="R24" s="43" t="str">
        <f aca="false">IF($E24="","",IF(AND(R$4&gt;=$E24,R$4&lt;=$F24),IF($D24="Milestone","D",1),""))</f>
        <v/>
      </c>
      <c r="S24" s="43" t="str">
        <f aca="false">IF($E24="","",IF(AND(S$4&gt;=$E24,S$4&lt;=$F24),IF($D24="Milestone","D",1),""))</f>
        <v/>
      </c>
      <c r="T24" s="43" t="str">
        <f aca="false">IF($E24="","",IF(AND(T$4&gt;=$E24,T$4&lt;=$F24),IF($D24="Milestone","D",1),""))</f>
        <v/>
      </c>
      <c r="U24" s="43" t="str">
        <f aca="false">IF($E24="","",IF(AND(U$4&gt;=$E24,U$4&lt;=$F24),IF($D24="Milestone","D",1),""))</f>
        <v/>
      </c>
      <c r="V24" s="43" t="str">
        <f aca="false">IF($E24="","",IF(AND(V$4&gt;=$E24,V$4&lt;=$F24),IF($D24="Milestone","D",1),""))</f>
        <v/>
      </c>
      <c r="W24" s="43" t="str">
        <f aca="false">IF($E24="","",IF(AND(W$4&gt;=$E24,W$4&lt;=$F24),IF($D24="Milestone","D",1),""))</f>
        <v/>
      </c>
      <c r="X24" s="43" t="str">
        <f aca="false">IF($E24="","",IF(AND(X$4&gt;=$E24,X$4&lt;=$F24),IF($D24="Milestone","D",1),""))</f>
        <v/>
      </c>
      <c r="Y24" s="43" t="str">
        <f aca="false">IF($E24="","",IF(AND(Y$4&gt;=$E24,Y$4&lt;=$F24),IF($D24="Milestone","D",1),""))</f>
        <v/>
      </c>
      <c r="Z24" s="43" t="str">
        <f aca="false">IF($E24="","",IF(AND(Z$4&gt;=$E24,Z$4&lt;=$F24),IF($D24="Milestone","D",1),""))</f>
        <v/>
      </c>
      <c r="AA24" s="43" t="str">
        <f aca="false">IF($E24="","",IF(AND(AA$4&gt;=$E24,AA$4&lt;=$F24),IF($D24="Milestone","D",1),""))</f>
        <v/>
      </c>
      <c r="AB24" s="43" t="str">
        <f aca="false">IF($E24="","",IF(AND(AB$4&gt;=$E24,AB$4&lt;=$F24),IF($D24="Milestone","D",1),""))</f>
        <v/>
      </c>
      <c r="AC24" s="43" t="str">
        <f aca="false">IF($E24="","",IF(AND(AC$4&gt;=$E24,AC$4&lt;=$F24),IF($D24="Milestone","D",1),""))</f>
        <v/>
      </c>
      <c r="AD24" s="43" t="str">
        <f aca="false">IF($E24="","",IF(AND(AD$4&gt;=$E24,AD$4&lt;=$F24),IF($D24="Milestone","D",1),""))</f>
        <v/>
      </c>
      <c r="AE24" s="43" t="n">
        <f aca="false">IF($E24="","",IF(AND(AE$4&gt;=$E24,AE$4&lt;=$F24),IF($D24="Milestone","D",1),""))</f>
        <v>1</v>
      </c>
      <c r="AF24" s="43" t="str">
        <f aca="false">IF($E24="","",IF(AND(AF$4&gt;=$E24,AF$4&lt;=$F24),IF($D24="Milestone","D",1),""))</f>
        <v/>
      </c>
      <c r="AG24" s="43" t="str">
        <f aca="false">IF($E24="","",IF(AND(AG$4&gt;=$E24,AG$4&lt;=$F24),IF($D24="Milestone","D",1),""))</f>
        <v/>
      </c>
      <c r="AH24" s="43" t="str">
        <f aca="false">IF($E24="","",IF(AND(AH$4&gt;=$E24,AH$4&lt;=$F24),IF($D24="Milestone","D",1),""))</f>
        <v/>
      </c>
    </row>
    <row r="25" customFormat="false" ht="15" hidden="false" customHeight="false" outlineLevel="0" collapsed="false">
      <c r="A25" s="40" t="str">
        <f aca="false">WBS!A22</f>
        <v>PF-18</v>
      </c>
      <c r="B25" s="41" t="str">
        <f aca="false">WBS!B22</f>
        <v>Final report (TDD v2)</v>
      </c>
      <c r="C25" s="40" t="str">
        <f aca="false">WBS!E22</f>
        <v>ALL</v>
      </c>
      <c r="D25" s="40" t="str">
        <f aca="false">WBS!D22</f>
        <v>Formulation &amp; Docs</v>
      </c>
      <c r="E25" s="42" t="n">
        <f aca="false">WBS!L22</f>
        <v>46249</v>
      </c>
      <c r="F25" s="42" t="n">
        <f aca="false">WBS!M22</f>
        <v>46253</v>
      </c>
      <c r="G25" s="43" t="str">
        <f aca="false">IF($E25="","",IF(AND(G$4&gt;=$E25,G$4&lt;=$F25),IF($D25="Milestone","D",1),""))</f>
        <v/>
      </c>
      <c r="H25" s="43" t="str">
        <f aca="false">IF($E25="","",IF(AND(H$4&gt;=$E25,H$4&lt;=$F25),IF($D25="Milestone","D",1),""))</f>
        <v/>
      </c>
      <c r="I25" s="43" t="str">
        <f aca="false">IF($E25="","",IF(AND(I$4&gt;=$E25,I$4&lt;=$F25),IF($D25="Milestone","D",1),""))</f>
        <v/>
      </c>
      <c r="J25" s="43" t="str">
        <f aca="false">IF($E25="","",IF(AND(J$4&gt;=$E25,J$4&lt;=$F25),IF($D25="Milestone","D",1),""))</f>
        <v/>
      </c>
      <c r="K25" s="43" t="str">
        <f aca="false">IF($E25="","",IF(AND(K$4&gt;=$E25,K$4&lt;=$F25),IF($D25="Milestone","D",1),""))</f>
        <v/>
      </c>
      <c r="L25" s="43" t="str">
        <f aca="false">IF($E25="","",IF(AND(L$4&gt;=$E25,L$4&lt;=$F25),IF($D25="Milestone","D",1),""))</f>
        <v/>
      </c>
      <c r="M25" s="43" t="str">
        <f aca="false">IF($E25="","",IF(AND(M$4&gt;=$E25,M$4&lt;=$F25),IF($D25="Milestone","D",1),""))</f>
        <v/>
      </c>
      <c r="N25" s="43" t="str">
        <f aca="false">IF($E25="","",IF(AND(N$4&gt;=$E25,N$4&lt;=$F25),IF($D25="Milestone","D",1),""))</f>
        <v/>
      </c>
      <c r="O25" s="43" t="str">
        <f aca="false">IF($E25="","",IF(AND(O$4&gt;=$E25,O$4&lt;=$F25),IF($D25="Milestone","D",1),""))</f>
        <v/>
      </c>
      <c r="P25" s="43" t="str">
        <f aca="false">IF($E25="","",IF(AND(P$4&gt;=$E25,P$4&lt;=$F25),IF($D25="Milestone","D",1),""))</f>
        <v/>
      </c>
      <c r="Q25" s="43" t="str">
        <f aca="false">IF($E25="","",IF(AND(Q$4&gt;=$E25,Q$4&lt;=$F25),IF($D25="Milestone","D",1),""))</f>
        <v/>
      </c>
      <c r="R25" s="43" t="str">
        <f aca="false">IF($E25="","",IF(AND(R$4&gt;=$E25,R$4&lt;=$F25),IF($D25="Milestone","D",1),""))</f>
        <v/>
      </c>
      <c r="S25" s="43" t="str">
        <f aca="false">IF($E25="","",IF(AND(S$4&gt;=$E25,S$4&lt;=$F25),IF($D25="Milestone","D",1),""))</f>
        <v/>
      </c>
      <c r="T25" s="43" t="str">
        <f aca="false">IF($E25="","",IF(AND(T$4&gt;=$E25,T$4&lt;=$F25),IF($D25="Milestone","D",1),""))</f>
        <v/>
      </c>
      <c r="U25" s="43" t="str">
        <f aca="false">IF($E25="","",IF(AND(U$4&gt;=$E25,U$4&lt;=$F25),IF($D25="Milestone","D",1),""))</f>
        <v/>
      </c>
      <c r="V25" s="43" t="str">
        <f aca="false">IF($E25="","",IF(AND(V$4&gt;=$E25,V$4&lt;=$F25),IF($D25="Milestone","D",1),""))</f>
        <v/>
      </c>
      <c r="W25" s="43" t="str">
        <f aca="false">IF($E25="","",IF(AND(W$4&gt;=$E25,W$4&lt;=$F25),IF($D25="Milestone","D",1),""))</f>
        <v/>
      </c>
      <c r="X25" s="43" t="str">
        <f aca="false">IF($E25="","",IF(AND(X$4&gt;=$E25,X$4&lt;=$F25),IF($D25="Milestone","D",1),""))</f>
        <v/>
      </c>
      <c r="Y25" s="43" t="str">
        <f aca="false">IF($E25="","",IF(AND(Y$4&gt;=$E25,Y$4&lt;=$F25),IF($D25="Milestone","D",1),""))</f>
        <v/>
      </c>
      <c r="Z25" s="43" t="str">
        <f aca="false">IF($E25="","",IF(AND(Z$4&gt;=$E25,Z$4&lt;=$F25),IF($D25="Milestone","D",1),""))</f>
        <v/>
      </c>
      <c r="AA25" s="43" t="str">
        <f aca="false">IF($E25="","",IF(AND(AA$4&gt;=$E25,AA$4&lt;=$F25),IF($D25="Milestone","D",1),""))</f>
        <v/>
      </c>
      <c r="AB25" s="43" t="str">
        <f aca="false">IF($E25="","",IF(AND(AB$4&gt;=$E25,AB$4&lt;=$F25),IF($D25="Milestone","D",1),""))</f>
        <v/>
      </c>
      <c r="AC25" s="43" t="str">
        <f aca="false">IF($E25="","",IF(AND(AC$4&gt;=$E25,AC$4&lt;=$F25),IF($D25="Milestone","D",1),""))</f>
        <v/>
      </c>
      <c r="AD25" s="43" t="n">
        <f aca="false">IF($E25="","",IF(AND(AD$4&gt;=$E25,AD$4&lt;=$F25),IF($D25="Milestone","D",1),""))</f>
        <v>1</v>
      </c>
      <c r="AE25" s="43" t="n">
        <f aca="false">IF($E25="","",IF(AND(AE$4&gt;=$E25,AE$4&lt;=$F25),IF($D25="Milestone","D",1),""))</f>
        <v>1</v>
      </c>
      <c r="AF25" s="43" t="n">
        <f aca="false">IF($E25="","",IF(AND(AF$4&gt;=$E25,AF$4&lt;=$F25),IF($D25="Milestone","D",1),""))</f>
        <v>1</v>
      </c>
      <c r="AG25" s="43" t="n">
        <f aca="false">IF($E25="","",IF(AND(AG$4&gt;=$E25,AG$4&lt;=$F25),IF($D25="Milestone","D",1),""))</f>
        <v>1</v>
      </c>
      <c r="AH25" s="43" t="n">
        <f aca="false">IF($E25="","",IF(AND(AH$4&gt;=$E25,AH$4&lt;=$F25),IF($D25="Milestone","D",1),""))</f>
        <v>1</v>
      </c>
    </row>
    <row r="26" customFormat="false" ht="15" hidden="false" customHeight="false" outlineLevel="0" collapsed="false">
      <c r="A26" s="40" t="str">
        <f aca="false">WBS!A23</f>
        <v>PF-19</v>
      </c>
      <c r="B26" s="41" t="str">
        <f aca="false">WBS!B23</f>
        <v>Demo video &amp; deck</v>
      </c>
      <c r="C26" s="40" t="str">
        <f aca="false">WBS!E23</f>
        <v>ALL</v>
      </c>
      <c r="D26" s="40" t="str">
        <f aca="false">WBS!D23</f>
        <v>Formulation &amp; Docs</v>
      </c>
      <c r="E26" s="42" t="n">
        <f aca="false">WBS!L23</f>
        <v>46251</v>
      </c>
      <c r="F26" s="42" t="n">
        <f aca="false">WBS!M23</f>
        <v>46253</v>
      </c>
      <c r="G26" s="43" t="str">
        <f aca="false">IF($E26="","",IF(AND(G$4&gt;=$E26,G$4&lt;=$F26),IF($D26="Milestone","D",1),""))</f>
        <v/>
      </c>
      <c r="H26" s="43" t="str">
        <f aca="false">IF($E26="","",IF(AND(H$4&gt;=$E26,H$4&lt;=$F26),IF($D26="Milestone","D",1),""))</f>
        <v/>
      </c>
      <c r="I26" s="43" t="str">
        <f aca="false">IF($E26="","",IF(AND(I$4&gt;=$E26,I$4&lt;=$F26),IF($D26="Milestone","D",1),""))</f>
        <v/>
      </c>
      <c r="J26" s="43" t="str">
        <f aca="false">IF($E26="","",IF(AND(J$4&gt;=$E26,J$4&lt;=$F26),IF($D26="Milestone","D",1),""))</f>
        <v/>
      </c>
      <c r="K26" s="43" t="str">
        <f aca="false">IF($E26="","",IF(AND(K$4&gt;=$E26,K$4&lt;=$F26),IF($D26="Milestone","D",1),""))</f>
        <v/>
      </c>
      <c r="L26" s="43" t="str">
        <f aca="false">IF($E26="","",IF(AND(L$4&gt;=$E26,L$4&lt;=$F26),IF($D26="Milestone","D",1),""))</f>
        <v/>
      </c>
      <c r="M26" s="43" t="str">
        <f aca="false">IF($E26="","",IF(AND(M$4&gt;=$E26,M$4&lt;=$F26),IF($D26="Milestone","D",1),""))</f>
        <v/>
      </c>
      <c r="N26" s="43" t="str">
        <f aca="false">IF($E26="","",IF(AND(N$4&gt;=$E26,N$4&lt;=$F26),IF($D26="Milestone","D",1),""))</f>
        <v/>
      </c>
      <c r="O26" s="43" t="str">
        <f aca="false">IF($E26="","",IF(AND(O$4&gt;=$E26,O$4&lt;=$F26),IF($D26="Milestone","D",1),""))</f>
        <v/>
      </c>
      <c r="P26" s="43" t="str">
        <f aca="false">IF($E26="","",IF(AND(P$4&gt;=$E26,P$4&lt;=$F26),IF($D26="Milestone","D",1),""))</f>
        <v/>
      </c>
      <c r="Q26" s="43" t="str">
        <f aca="false">IF($E26="","",IF(AND(Q$4&gt;=$E26,Q$4&lt;=$F26),IF($D26="Milestone","D",1),""))</f>
        <v/>
      </c>
      <c r="R26" s="43" t="str">
        <f aca="false">IF($E26="","",IF(AND(R$4&gt;=$E26,R$4&lt;=$F26),IF($D26="Milestone","D",1),""))</f>
        <v/>
      </c>
      <c r="S26" s="43" t="str">
        <f aca="false">IF($E26="","",IF(AND(S$4&gt;=$E26,S$4&lt;=$F26),IF($D26="Milestone","D",1),""))</f>
        <v/>
      </c>
      <c r="T26" s="43" t="str">
        <f aca="false">IF($E26="","",IF(AND(T$4&gt;=$E26,T$4&lt;=$F26),IF($D26="Milestone","D",1),""))</f>
        <v/>
      </c>
      <c r="U26" s="43" t="str">
        <f aca="false">IF($E26="","",IF(AND(U$4&gt;=$E26,U$4&lt;=$F26),IF($D26="Milestone","D",1),""))</f>
        <v/>
      </c>
      <c r="V26" s="43" t="str">
        <f aca="false">IF($E26="","",IF(AND(V$4&gt;=$E26,V$4&lt;=$F26),IF($D26="Milestone","D",1),""))</f>
        <v/>
      </c>
      <c r="W26" s="43" t="str">
        <f aca="false">IF($E26="","",IF(AND(W$4&gt;=$E26,W$4&lt;=$F26),IF($D26="Milestone","D",1),""))</f>
        <v/>
      </c>
      <c r="X26" s="43" t="str">
        <f aca="false">IF($E26="","",IF(AND(X$4&gt;=$E26,X$4&lt;=$F26),IF($D26="Milestone","D",1),""))</f>
        <v/>
      </c>
      <c r="Y26" s="43" t="str">
        <f aca="false">IF($E26="","",IF(AND(Y$4&gt;=$E26,Y$4&lt;=$F26),IF($D26="Milestone","D",1),""))</f>
        <v/>
      </c>
      <c r="Z26" s="43" t="str">
        <f aca="false">IF($E26="","",IF(AND(Z$4&gt;=$E26,Z$4&lt;=$F26),IF($D26="Milestone","D",1),""))</f>
        <v/>
      </c>
      <c r="AA26" s="43" t="str">
        <f aca="false">IF($E26="","",IF(AND(AA$4&gt;=$E26,AA$4&lt;=$F26),IF($D26="Milestone","D",1),""))</f>
        <v/>
      </c>
      <c r="AB26" s="43" t="str">
        <f aca="false">IF($E26="","",IF(AND(AB$4&gt;=$E26,AB$4&lt;=$F26),IF($D26="Milestone","D",1),""))</f>
        <v/>
      </c>
      <c r="AC26" s="43" t="str">
        <f aca="false">IF($E26="","",IF(AND(AC$4&gt;=$E26,AC$4&lt;=$F26),IF($D26="Milestone","D",1),""))</f>
        <v/>
      </c>
      <c r="AD26" s="43" t="str">
        <f aca="false">IF($E26="","",IF(AND(AD$4&gt;=$E26,AD$4&lt;=$F26),IF($D26="Milestone","D",1),""))</f>
        <v/>
      </c>
      <c r="AE26" s="43" t="str">
        <f aca="false">IF($E26="","",IF(AND(AE$4&gt;=$E26,AE$4&lt;=$F26),IF($D26="Milestone","D",1),""))</f>
        <v/>
      </c>
      <c r="AF26" s="43" t="n">
        <f aca="false">IF($E26="","",IF(AND(AF$4&gt;=$E26,AF$4&lt;=$F26),IF($D26="Milestone","D",1),""))</f>
        <v>1</v>
      </c>
      <c r="AG26" s="43" t="n">
        <f aca="false">IF($E26="","",IF(AND(AG$4&gt;=$E26,AG$4&lt;=$F26),IF($D26="Milestone","D",1),""))</f>
        <v>1</v>
      </c>
      <c r="AH26" s="43" t="n">
        <f aca="false">IF($E26="","",IF(AND(AH$4&gt;=$E26,AH$4&lt;=$F26),IF($D26="Milestone","D",1),""))</f>
        <v>1</v>
      </c>
    </row>
    <row r="27" customFormat="false" ht="15" hidden="false" customHeight="false" outlineLevel="0" collapsed="false">
      <c r="A27" s="40" t="str">
        <f aca="false">WBS!A24</f>
        <v>CT-01</v>
      </c>
      <c r="B27" s="41" t="str">
        <f aca="false">WBS!B24</f>
        <v>Sim environment + 1-DoF plant</v>
      </c>
      <c r="C27" s="40" t="str">
        <f aca="false">WBS!E24</f>
        <v>Andrea</v>
      </c>
      <c r="D27" s="40" t="str">
        <f aca="false">WBS!D24</f>
        <v>Control &amp; Software</v>
      </c>
      <c r="E27" s="42" t="n">
        <f aca="false">WBS!L24</f>
        <v>46226</v>
      </c>
      <c r="F27" s="42" t="n">
        <f aca="false">WBS!M24</f>
        <v>46227</v>
      </c>
      <c r="G27" s="43" t="n">
        <f aca="false">IF($E27="","",IF(AND(G$4&gt;=$E27,G$4&lt;=$F27),IF($D27="Milestone","D",1),""))</f>
        <v>1</v>
      </c>
      <c r="H27" s="43" t="n">
        <f aca="false">IF($E27="","",IF(AND(H$4&gt;=$E27,H$4&lt;=$F27),IF($D27="Milestone","D",1),""))</f>
        <v>1</v>
      </c>
      <c r="I27" s="43" t="str">
        <f aca="false">IF($E27="","",IF(AND(I$4&gt;=$E27,I$4&lt;=$F27),IF($D27="Milestone","D",1),""))</f>
        <v/>
      </c>
      <c r="J27" s="43" t="str">
        <f aca="false">IF($E27="","",IF(AND(J$4&gt;=$E27,J$4&lt;=$F27),IF($D27="Milestone","D",1),""))</f>
        <v/>
      </c>
      <c r="K27" s="43" t="str">
        <f aca="false">IF($E27="","",IF(AND(K$4&gt;=$E27,K$4&lt;=$F27),IF($D27="Milestone","D",1),""))</f>
        <v/>
      </c>
      <c r="L27" s="43" t="str">
        <f aca="false">IF($E27="","",IF(AND(L$4&gt;=$E27,L$4&lt;=$F27),IF($D27="Milestone","D",1),""))</f>
        <v/>
      </c>
      <c r="M27" s="43" t="str">
        <f aca="false">IF($E27="","",IF(AND(M$4&gt;=$E27,M$4&lt;=$F27),IF($D27="Milestone","D",1),""))</f>
        <v/>
      </c>
      <c r="N27" s="43" t="str">
        <f aca="false">IF($E27="","",IF(AND(N$4&gt;=$E27,N$4&lt;=$F27),IF($D27="Milestone","D",1),""))</f>
        <v/>
      </c>
      <c r="O27" s="43" t="str">
        <f aca="false">IF($E27="","",IF(AND(O$4&gt;=$E27,O$4&lt;=$F27),IF($D27="Milestone","D",1),""))</f>
        <v/>
      </c>
      <c r="P27" s="43" t="str">
        <f aca="false">IF($E27="","",IF(AND(P$4&gt;=$E27,P$4&lt;=$F27),IF($D27="Milestone","D",1),""))</f>
        <v/>
      </c>
      <c r="Q27" s="43" t="str">
        <f aca="false">IF($E27="","",IF(AND(Q$4&gt;=$E27,Q$4&lt;=$F27),IF($D27="Milestone","D",1),""))</f>
        <v/>
      </c>
      <c r="R27" s="43" t="str">
        <f aca="false">IF($E27="","",IF(AND(R$4&gt;=$E27,R$4&lt;=$F27),IF($D27="Milestone","D",1),""))</f>
        <v/>
      </c>
      <c r="S27" s="43" t="str">
        <f aca="false">IF($E27="","",IF(AND(S$4&gt;=$E27,S$4&lt;=$F27),IF($D27="Milestone","D",1),""))</f>
        <v/>
      </c>
      <c r="T27" s="43" t="str">
        <f aca="false">IF($E27="","",IF(AND(T$4&gt;=$E27,T$4&lt;=$F27),IF($D27="Milestone","D",1),""))</f>
        <v/>
      </c>
      <c r="U27" s="43" t="str">
        <f aca="false">IF($E27="","",IF(AND(U$4&gt;=$E27,U$4&lt;=$F27),IF($D27="Milestone","D",1),""))</f>
        <v/>
      </c>
      <c r="V27" s="43" t="str">
        <f aca="false">IF($E27="","",IF(AND(V$4&gt;=$E27,V$4&lt;=$F27),IF($D27="Milestone","D",1),""))</f>
        <v/>
      </c>
      <c r="W27" s="43" t="str">
        <f aca="false">IF($E27="","",IF(AND(W$4&gt;=$E27,W$4&lt;=$F27),IF($D27="Milestone","D",1),""))</f>
        <v/>
      </c>
      <c r="X27" s="43" t="str">
        <f aca="false">IF($E27="","",IF(AND(X$4&gt;=$E27,X$4&lt;=$F27),IF($D27="Milestone","D",1),""))</f>
        <v/>
      </c>
      <c r="Y27" s="43" t="str">
        <f aca="false">IF($E27="","",IF(AND(Y$4&gt;=$E27,Y$4&lt;=$F27),IF($D27="Milestone","D",1),""))</f>
        <v/>
      </c>
      <c r="Z27" s="43" t="str">
        <f aca="false">IF($E27="","",IF(AND(Z$4&gt;=$E27,Z$4&lt;=$F27),IF($D27="Milestone","D",1),""))</f>
        <v/>
      </c>
      <c r="AA27" s="43" t="str">
        <f aca="false">IF($E27="","",IF(AND(AA$4&gt;=$E27,AA$4&lt;=$F27),IF($D27="Milestone","D",1),""))</f>
        <v/>
      </c>
      <c r="AB27" s="43" t="str">
        <f aca="false">IF($E27="","",IF(AND(AB$4&gt;=$E27,AB$4&lt;=$F27),IF($D27="Milestone","D",1),""))</f>
        <v/>
      </c>
      <c r="AC27" s="43" t="str">
        <f aca="false">IF($E27="","",IF(AND(AC$4&gt;=$E27,AC$4&lt;=$F27),IF($D27="Milestone","D",1),""))</f>
        <v/>
      </c>
      <c r="AD27" s="43" t="str">
        <f aca="false">IF($E27="","",IF(AND(AD$4&gt;=$E27,AD$4&lt;=$F27),IF($D27="Milestone","D",1),""))</f>
        <v/>
      </c>
      <c r="AE27" s="43" t="str">
        <f aca="false">IF($E27="","",IF(AND(AE$4&gt;=$E27,AE$4&lt;=$F27),IF($D27="Milestone","D",1),""))</f>
        <v/>
      </c>
      <c r="AF27" s="43" t="str">
        <f aca="false">IF($E27="","",IF(AND(AF$4&gt;=$E27,AF$4&lt;=$F27),IF($D27="Milestone","D",1),""))</f>
        <v/>
      </c>
      <c r="AG27" s="43" t="str">
        <f aca="false">IF($E27="","",IF(AND(AG$4&gt;=$E27,AG$4&lt;=$F27),IF($D27="Milestone","D",1),""))</f>
        <v/>
      </c>
      <c r="AH27" s="43" t="str">
        <f aca="false">IF($E27="","",IF(AND(AH$4&gt;=$E27,AH$4&lt;=$F27),IF($D27="Milestone","D",1),""))</f>
        <v/>
      </c>
    </row>
    <row r="28" customFormat="false" ht="15" hidden="false" customHeight="false" outlineLevel="0" collapsed="false">
      <c r="A28" s="40" t="str">
        <f aca="false">WBS!A25</f>
        <v>CT-02</v>
      </c>
      <c r="B28" s="41" t="str">
        <f aca="false">WBS!B25</f>
        <v>LQR 1-DoF (sim)</v>
      </c>
      <c r="C28" s="40" t="str">
        <f aca="false">WBS!E25</f>
        <v>Andrea</v>
      </c>
      <c r="D28" s="40" t="str">
        <f aca="false">WBS!D25</f>
        <v>Control &amp; Software</v>
      </c>
      <c r="E28" s="42" t="n">
        <f aca="false">WBS!L25</f>
        <v>46229</v>
      </c>
      <c r="F28" s="42" t="n">
        <f aca="false">WBS!M25</f>
        <v>46230</v>
      </c>
      <c r="G28" s="43" t="str">
        <f aca="false">IF($E28="","",IF(AND(G$4&gt;=$E28,G$4&lt;=$F28),IF($D28="Milestone","D",1),""))</f>
        <v/>
      </c>
      <c r="H28" s="43" t="str">
        <f aca="false">IF($E28="","",IF(AND(H$4&gt;=$E28,H$4&lt;=$F28),IF($D28="Milestone","D",1),""))</f>
        <v/>
      </c>
      <c r="I28" s="43" t="str">
        <f aca="false">IF($E28="","",IF(AND(I$4&gt;=$E28,I$4&lt;=$F28),IF($D28="Milestone","D",1),""))</f>
        <v/>
      </c>
      <c r="J28" s="43" t="n">
        <f aca="false">IF($E28="","",IF(AND(J$4&gt;=$E28,J$4&lt;=$F28),IF($D28="Milestone","D",1),""))</f>
        <v>1</v>
      </c>
      <c r="K28" s="43" t="n">
        <f aca="false">IF($E28="","",IF(AND(K$4&gt;=$E28,K$4&lt;=$F28),IF($D28="Milestone","D",1),""))</f>
        <v>1</v>
      </c>
      <c r="L28" s="43" t="str">
        <f aca="false">IF($E28="","",IF(AND(L$4&gt;=$E28,L$4&lt;=$F28),IF($D28="Milestone","D",1),""))</f>
        <v/>
      </c>
      <c r="M28" s="43" t="str">
        <f aca="false">IF($E28="","",IF(AND(M$4&gt;=$E28,M$4&lt;=$F28),IF($D28="Milestone","D",1),""))</f>
        <v/>
      </c>
      <c r="N28" s="43" t="str">
        <f aca="false">IF($E28="","",IF(AND(N$4&gt;=$E28,N$4&lt;=$F28),IF($D28="Milestone","D",1),""))</f>
        <v/>
      </c>
      <c r="O28" s="43" t="str">
        <f aca="false">IF($E28="","",IF(AND(O$4&gt;=$E28,O$4&lt;=$F28),IF($D28="Milestone","D",1),""))</f>
        <v/>
      </c>
      <c r="P28" s="43" t="str">
        <f aca="false">IF($E28="","",IF(AND(P$4&gt;=$E28,P$4&lt;=$F28),IF($D28="Milestone","D",1),""))</f>
        <v/>
      </c>
      <c r="Q28" s="43" t="str">
        <f aca="false">IF($E28="","",IF(AND(Q$4&gt;=$E28,Q$4&lt;=$F28),IF($D28="Milestone","D",1),""))</f>
        <v/>
      </c>
      <c r="R28" s="43" t="str">
        <f aca="false">IF($E28="","",IF(AND(R$4&gt;=$E28,R$4&lt;=$F28),IF($D28="Milestone","D",1),""))</f>
        <v/>
      </c>
      <c r="S28" s="43" t="str">
        <f aca="false">IF($E28="","",IF(AND(S$4&gt;=$E28,S$4&lt;=$F28),IF($D28="Milestone","D",1),""))</f>
        <v/>
      </c>
      <c r="T28" s="43" t="str">
        <f aca="false">IF($E28="","",IF(AND(T$4&gt;=$E28,T$4&lt;=$F28),IF($D28="Milestone","D",1),""))</f>
        <v/>
      </c>
      <c r="U28" s="43" t="str">
        <f aca="false">IF($E28="","",IF(AND(U$4&gt;=$E28,U$4&lt;=$F28),IF($D28="Milestone","D",1),""))</f>
        <v/>
      </c>
      <c r="V28" s="43" t="str">
        <f aca="false">IF($E28="","",IF(AND(V$4&gt;=$E28,V$4&lt;=$F28),IF($D28="Milestone","D",1),""))</f>
        <v/>
      </c>
      <c r="W28" s="43" t="str">
        <f aca="false">IF($E28="","",IF(AND(W$4&gt;=$E28,W$4&lt;=$F28),IF($D28="Milestone","D",1),""))</f>
        <v/>
      </c>
      <c r="X28" s="43" t="str">
        <f aca="false">IF($E28="","",IF(AND(X$4&gt;=$E28,X$4&lt;=$F28),IF($D28="Milestone","D",1),""))</f>
        <v/>
      </c>
      <c r="Y28" s="43" t="str">
        <f aca="false">IF($E28="","",IF(AND(Y$4&gt;=$E28,Y$4&lt;=$F28),IF($D28="Milestone","D",1),""))</f>
        <v/>
      </c>
      <c r="Z28" s="43" t="str">
        <f aca="false">IF($E28="","",IF(AND(Z$4&gt;=$E28,Z$4&lt;=$F28),IF($D28="Milestone","D",1),""))</f>
        <v/>
      </c>
      <c r="AA28" s="43" t="str">
        <f aca="false">IF($E28="","",IF(AND(AA$4&gt;=$E28,AA$4&lt;=$F28),IF($D28="Milestone","D",1),""))</f>
        <v/>
      </c>
      <c r="AB28" s="43" t="str">
        <f aca="false">IF($E28="","",IF(AND(AB$4&gt;=$E28,AB$4&lt;=$F28),IF($D28="Milestone","D",1),""))</f>
        <v/>
      </c>
      <c r="AC28" s="43" t="str">
        <f aca="false">IF($E28="","",IF(AND(AC$4&gt;=$E28,AC$4&lt;=$F28),IF($D28="Milestone","D",1),""))</f>
        <v/>
      </c>
      <c r="AD28" s="43" t="str">
        <f aca="false">IF($E28="","",IF(AND(AD$4&gt;=$E28,AD$4&lt;=$F28),IF($D28="Milestone","D",1),""))</f>
        <v/>
      </c>
      <c r="AE28" s="43" t="str">
        <f aca="false">IF($E28="","",IF(AND(AE$4&gt;=$E28,AE$4&lt;=$F28),IF($D28="Milestone","D",1),""))</f>
        <v/>
      </c>
      <c r="AF28" s="43" t="str">
        <f aca="false">IF($E28="","",IF(AND(AF$4&gt;=$E28,AF$4&lt;=$F28),IF($D28="Milestone","D",1),""))</f>
        <v/>
      </c>
      <c r="AG28" s="43" t="str">
        <f aca="false">IF($E28="","",IF(AND(AG$4&gt;=$E28,AG$4&lt;=$F28),IF($D28="Milestone","D",1),""))</f>
        <v/>
      </c>
      <c r="AH28" s="43" t="str">
        <f aca="false">IF($E28="","",IF(AND(AH$4&gt;=$E28,AH$4&lt;=$F28),IF($D28="Milestone","D",1),""))</f>
        <v/>
      </c>
    </row>
    <row r="29" customFormat="false" ht="15" hidden="false" customHeight="false" outlineLevel="0" collapsed="false">
      <c r="A29" s="40" t="str">
        <f aca="false">WBS!A26</f>
        <v>CT-03</v>
      </c>
      <c r="B29" s="41" t="str">
        <f aca="false">WBS!B26</f>
        <v>Complementary filter</v>
      </c>
      <c r="C29" s="40" t="str">
        <f aca="false">WBS!E26</f>
        <v>Nicc</v>
      </c>
      <c r="D29" s="40" t="str">
        <f aca="false">WBS!D26</f>
        <v>Control &amp; Software</v>
      </c>
      <c r="E29" s="42" t="n">
        <f aca="false">WBS!L26</f>
        <v>46230</v>
      </c>
      <c r="F29" s="42" t="n">
        <f aca="false">WBS!M26</f>
        <v>46231</v>
      </c>
      <c r="G29" s="43" t="str">
        <f aca="false">IF($E29="","",IF(AND(G$4&gt;=$E29,G$4&lt;=$F29),IF($D29="Milestone","D",1),""))</f>
        <v/>
      </c>
      <c r="H29" s="43" t="str">
        <f aca="false">IF($E29="","",IF(AND(H$4&gt;=$E29,H$4&lt;=$F29),IF($D29="Milestone","D",1),""))</f>
        <v/>
      </c>
      <c r="I29" s="43" t="str">
        <f aca="false">IF($E29="","",IF(AND(I$4&gt;=$E29,I$4&lt;=$F29),IF($D29="Milestone","D",1),""))</f>
        <v/>
      </c>
      <c r="J29" s="43" t="str">
        <f aca="false">IF($E29="","",IF(AND(J$4&gt;=$E29,J$4&lt;=$F29),IF($D29="Milestone","D",1),""))</f>
        <v/>
      </c>
      <c r="K29" s="43" t="n">
        <f aca="false">IF($E29="","",IF(AND(K$4&gt;=$E29,K$4&lt;=$F29),IF($D29="Milestone","D",1),""))</f>
        <v>1</v>
      </c>
      <c r="L29" s="43" t="n">
        <f aca="false">IF($E29="","",IF(AND(L$4&gt;=$E29,L$4&lt;=$F29),IF($D29="Milestone","D",1),""))</f>
        <v>1</v>
      </c>
      <c r="M29" s="43" t="str">
        <f aca="false">IF($E29="","",IF(AND(M$4&gt;=$E29,M$4&lt;=$F29),IF($D29="Milestone","D",1),""))</f>
        <v/>
      </c>
      <c r="N29" s="43" t="str">
        <f aca="false">IF($E29="","",IF(AND(N$4&gt;=$E29,N$4&lt;=$F29),IF($D29="Milestone","D",1),""))</f>
        <v/>
      </c>
      <c r="O29" s="43" t="str">
        <f aca="false">IF($E29="","",IF(AND(O$4&gt;=$E29,O$4&lt;=$F29),IF($D29="Milestone","D",1),""))</f>
        <v/>
      </c>
      <c r="P29" s="43" t="str">
        <f aca="false">IF($E29="","",IF(AND(P$4&gt;=$E29,P$4&lt;=$F29),IF($D29="Milestone","D",1),""))</f>
        <v/>
      </c>
      <c r="Q29" s="43" t="str">
        <f aca="false">IF($E29="","",IF(AND(Q$4&gt;=$E29,Q$4&lt;=$F29),IF($D29="Milestone","D",1),""))</f>
        <v/>
      </c>
      <c r="R29" s="43" t="str">
        <f aca="false">IF($E29="","",IF(AND(R$4&gt;=$E29,R$4&lt;=$F29),IF($D29="Milestone","D",1),""))</f>
        <v/>
      </c>
      <c r="S29" s="43" t="str">
        <f aca="false">IF($E29="","",IF(AND(S$4&gt;=$E29,S$4&lt;=$F29),IF($D29="Milestone","D",1),""))</f>
        <v/>
      </c>
      <c r="T29" s="43" t="str">
        <f aca="false">IF($E29="","",IF(AND(T$4&gt;=$E29,T$4&lt;=$F29),IF($D29="Milestone","D",1),""))</f>
        <v/>
      </c>
      <c r="U29" s="43" t="str">
        <f aca="false">IF($E29="","",IF(AND(U$4&gt;=$E29,U$4&lt;=$F29),IF($D29="Milestone","D",1),""))</f>
        <v/>
      </c>
      <c r="V29" s="43" t="str">
        <f aca="false">IF($E29="","",IF(AND(V$4&gt;=$E29,V$4&lt;=$F29),IF($D29="Milestone","D",1),""))</f>
        <v/>
      </c>
      <c r="W29" s="43" t="str">
        <f aca="false">IF($E29="","",IF(AND(W$4&gt;=$E29,W$4&lt;=$F29),IF($D29="Milestone","D",1),""))</f>
        <v/>
      </c>
      <c r="X29" s="43" t="str">
        <f aca="false">IF($E29="","",IF(AND(X$4&gt;=$E29,X$4&lt;=$F29),IF($D29="Milestone","D",1),""))</f>
        <v/>
      </c>
      <c r="Y29" s="43" t="str">
        <f aca="false">IF($E29="","",IF(AND(Y$4&gt;=$E29,Y$4&lt;=$F29),IF($D29="Milestone","D",1),""))</f>
        <v/>
      </c>
      <c r="Z29" s="43" t="str">
        <f aca="false">IF($E29="","",IF(AND(Z$4&gt;=$E29,Z$4&lt;=$F29),IF($D29="Milestone","D",1),""))</f>
        <v/>
      </c>
      <c r="AA29" s="43" t="str">
        <f aca="false">IF($E29="","",IF(AND(AA$4&gt;=$E29,AA$4&lt;=$F29),IF($D29="Milestone","D",1),""))</f>
        <v/>
      </c>
      <c r="AB29" s="43" t="str">
        <f aca="false">IF($E29="","",IF(AND(AB$4&gt;=$E29,AB$4&lt;=$F29),IF($D29="Milestone","D",1),""))</f>
        <v/>
      </c>
      <c r="AC29" s="43" t="str">
        <f aca="false">IF($E29="","",IF(AND(AC$4&gt;=$E29,AC$4&lt;=$F29),IF($D29="Milestone","D",1),""))</f>
        <v/>
      </c>
      <c r="AD29" s="43" t="str">
        <f aca="false">IF($E29="","",IF(AND(AD$4&gt;=$E29,AD$4&lt;=$F29),IF($D29="Milestone","D",1),""))</f>
        <v/>
      </c>
      <c r="AE29" s="43" t="str">
        <f aca="false">IF($E29="","",IF(AND(AE$4&gt;=$E29,AE$4&lt;=$F29),IF($D29="Milestone","D",1),""))</f>
        <v/>
      </c>
      <c r="AF29" s="43" t="str">
        <f aca="false">IF($E29="","",IF(AND(AF$4&gt;=$E29,AF$4&lt;=$F29),IF($D29="Milestone","D",1),""))</f>
        <v/>
      </c>
      <c r="AG29" s="43" t="str">
        <f aca="false">IF($E29="","",IF(AND(AG$4&gt;=$E29,AG$4&lt;=$F29),IF($D29="Milestone","D",1),""))</f>
        <v/>
      </c>
      <c r="AH29" s="43" t="str">
        <f aca="false">IF($E29="","",IF(AND(AH$4&gt;=$E29,AH$4&lt;=$F29),IF($D29="Milestone","D",1),""))</f>
        <v/>
      </c>
    </row>
    <row r="30" customFormat="false" ht="15" hidden="false" customHeight="false" outlineLevel="0" collapsed="false">
      <c r="A30" s="40" t="str">
        <f aca="false">WBS!A27</f>
        <v>CT-04</v>
      </c>
      <c r="B30" s="41" t="str">
        <f aca="false">WBS!B27</f>
        <v>Firmware architecture</v>
      </c>
      <c r="C30" s="40" t="str">
        <f aca="false">WBS!E27</f>
        <v>Nicc</v>
      </c>
      <c r="D30" s="40" t="str">
        <f aca="false">WBS!D27</f>
        <v>Control &amp; Software</v>
      </c>
      <c r="E30" s="42" t="n">
        <f aca="false">WBS!L27</f>
        <v>46227</v>
      </c>
      <c r="F30" s="42" t="n">
        <f aca="false">WBS!M27</f>
        <v>46228</v>
      </c>
      <c r="G30" s="43" t="str">
        <f aca="false">IF($E30="","",IF(AND(G$4&gt;=$E30,G$4&lt;=$F30),IF($D30="Milestone","D",1),""))</f>
        <v/>
      </c>
      <c r="H30" s="43" t="n">
        <f aca="false">IF($E30="","",IF(AND(H$4&gt;=$E30,H$4&lt;=$F30),IF($D30="Milestone","D",1),""))</f>
        <v>1</v>
      </c>
      <c r="I30" s="43" t="n">
        <f aca="false">IF($E30="","",IF(AND(I$4&gt;=$E30,I$4&lt;=$F30),IF($D30="Milestone","D",1),""))</f>
        <v>1</v>
      </c>
      <c r="J30" s="43" t="str">
        <f aca="false">IF($E30="","",IF(AND(J$4&gt;=$E30,J$4&lt;=$F30),IF($D30="Milestone","D",1),""))</f>
        <v/>
      </c>
      <c r="K30" s="43" t="str">
        <f aca="false">IF($E30="","",IF(AND(K$4&gt;=$E30,K$4&lt;=$F30),IF($D30="Milestone","D",1),""))</f>
        <v/>
      </c>
      <c r="L30" s="43" t="str">
        <f aca="false">IF($E30="","",IF(AND(L$4&gt;=$E30,L$4&lt;=$F30),IF($D30="Milestone","D",1),""))</f>
        <v/>
      </c>
      <c r="M30" s="43" t="str">
        <f aca="false">IF($E30="","",IF(AND(M$4&gt;=$E30,M$4&lt;=$F30),IF($D30="Milestone","D",1),""))</f>
        <v/>
      </c>
      <c r="N30" s="43" t="str">
        <f aca="false">IF($E30="","",IF(AND(N$4&gt;=$E30,N$4&lt;=$F30),IF($D30="Milestone","D",1),""))</f>
        <v/>
      </c>
      <c r="O30" s="43" t="str">
        <f aca="false">IF($E30="","",IF(AND(O$4&gt;=$E30,O$4&lt;=$F30),IF($D30="Milestone","D",1),""))</f>
        <v/>
      </c>
      <c r="P30" s="43" t="str">
        <f aca="false">IF($E30="","",IF(AND(P$4&gt;=$E30,P$4&lt;=$F30),IF($D30="Milestone","D",1),""))</f>
        <v/>
      </c>
      <c r="Q30" s="43" t="str">
        <f aca="false">IF($E30="","",IF(AND(Q$4&gt;=$E30,Q$4&lt;=$F30),IF($D30="Milestone","D",1),""))</f>
        <v/>
      </c>
      <c r="R30" s="43" t="str">
        <f aca="false">IF($E30="","",IF(AND(R$4&gt;=$E30,R$4&lt;=$F30),IF($D30="Milestone","D",1),""))</f>
        <v/>
      </c>
      <c r="S30" s="43" t="str">
        <f aca="false">IF($E30="","",IF(AND(S$4&gt;=$E30,S$4&lt;=$F30),IF($D30="Milestone","D",1),""))</f>
        <v/>
      </c>
      <c r="T30" s="43" t="str">
        <f aca="false">IF($E30="","",IF(AND(T$4&gt;=$E30,T$4&lt;=$F30),IF($D30="Milestone","D",1),""))</f>
        <v/>
      </c>
      <c r="U30" s="43" t="str">
        <f aca="false">IF($E30="","",IF(AND(U$4&gt;=$E30,U$4&lt;=$F30),IF($D30="Milestone","D",1),""))</f>
        <v/>
      </c>
      <c r="V30" s="43" t="str">
        <f aca="false">IF($E30="","",IF(AND(V$4&gt;=$E30,V$4&lt;=$F30),IF($D30="Milestone","D",1),""))</f>
        <v/>
      </c>
      <c r="W30" s="43" t="str">
        <f aca="false">IF($E30="","",IF(AND(W$4&gt;=$E30,W$4&lt;=$F30),IF($D30="Milestone","D",1),""))</f>
        <v/>
      </c>
      <c r="X30" s="43" t="str">
        <f aca="false">IF($E30="","",IF(AND(X$4&gt;=$E30,X$4&lt;=$F30),IF($D30="Milestone","D",1),""))</f>
        <v/>
      </c>
      <c r="Y30" s="43" t="str">
        <f aca="false">IF($E30="","",IF(AND(Y$4&gt;=$E30,Y$4&lt;=$F30),IF($D30="Milestone","D",1),""))</f>
        <v/>
      </c>
      <c r="Z30" s="43" t="str">
        <f aca="false">IF($E30="","",IF(AND(Z$4&gt;=$E30,Z$4&lt;=$F30),IF($D30="Milestone","D",1),""))</f>
        <v/>
      </c>
      <c r="AA30" s="43" t="str">
        <f aca="false">IF($E30="","",IF(AND(AA$4&gt;=$E30,AA$4&lt;=$F30),IF($D30="Milestone","D",1),""))</f>
        <v/>
      </c>
      <c r="AB30" s="43" t="str">
        <f aca="false">IF($E30="","",IF(AND(AB$4&gt;=$E30,AB$4&lt;=$F30),IF($D30="Milestone","D",1),""))</f>
        <v/>
      </c>
      <c r="AC30" s="43" t="str">
        <f aca="false">IF($E30="","",IF(AND(AC$4&gt;=$E30,AC$4&lt;=$F30),IF($D30="Milestone","D",1),""))</f>
        <v/>
      </c>
      <c r="AD30" s="43" t="str">
        <f aca="false">IF($E30="","",IF(AND(AD$4&gt;=$E30,AD$4&lt;=$F30),IF($D30="Milestone","D",1),""))</f>
        <v/>
      </c>
      <c r="AE30" s="43" t="str">
        <f aca="false">IF($E30="","",IF(AND(AE$4&gt;=$E30,AE$4&lt;=$F30),IF($D30="Milestone","D",1),""))</f>
        <v/>
      </c>
      <c r="AF30" s="43" t="str">
        <f aca="false">IF($E30="","",IF(AND(AF$4&gt;=$E30,AF$4&lt;=$F30),IF($D30="Milestone","D",1),""))</f>
        <v/>
      </c>
      <c r="AG30" s="43" t="str">
        <f aca="false">IF($E30="","",IF(AND(AG$4&gt;=$E30,AG$4&lt;=$F30),IF($D30="Milestone","D",1),""))</f>
        <v/>
      </c>
      <c r="AH30" s="43" t="str">
        <f aca="false">IF($E30="","",IF(AND(AH$4&gt;=$E30,AH$4&lt;=$F30),IF($D30="Milestone","D",1),""))</f>
        <v/>
      </c>
    </row>
    <row r="31" customFormat="false" ht="15" hidden="false" customHeight="false" outlineLevel="0" collapsed="false">
      <c r="A31" s="40" t="str">
        <f aca="false">WBS!A28</f>
        <v>CT-05</v>
      </c>
      <c r="B31" s="41" t="str">
        <f aca="false">WBS!B28</f>
        <v>CAN-FD comms layer</v>
      </c>
      <c r="C31" s="40" t="str">
        <f aca="false">WBS!E28</f>
        <v>Nicc</v>
      </c>
      <c r="D31" s="40" t="str">
        <f aca="false">WBS!D28</f>
        <v>Control &amp; Software</v>
      </c>
      <c r="E31" s="42" t="n">
        <f aca="false">WBS!L28</f>
        <v>46230</v>
      </c>
      <c r="F31" s="42" t="n">
        <f aca="false">WBS!M28</f>
        <v>46231</v>
      </c>
      <c r="G31" s="43" t="str">
        <f aca="false">IF($E31="","",IF(AND(G$4&gt;=$E31,G$4&lt;=$F31),IF($D31="Milestone","D",1),""))</f>
        <v/>
      </c>
      <c r="H31" s="43" t="str">
        <f aca="false">IF($E31="","",IF(AND(H$4&gt;=$E31,H$4&lt;=$F31),IF($D31="Milestone","D",1),""))</f>
        <v/>
      </c>
      <c r="I31" s="43" t="str">
        <f aca="false">IF($E31="","",IF(AND(I$4&gt;=$E31,I$4&lt;=$F31),IF($D31="Milestone","D",1),""))</f>
        <v/>
      </c>
      <c r="J31" s="43" t="str">
        <f aca="false">IF($E31="","",IF(AND(J$4&gt;=$E31,J$4&lt;=$F31),IF($D31="Milestone","D",1),""))</f>
        <v/>
      </c>
      <c r="K31" s="43" t="n">
        <f aca="false">IF($E31="","",IF(AND(K$4&gt;=$E31,K$4&lt;=$F31),IF($D31="Milestone","D",1),""))</f>
        <v>1</v>
      </c>
      <c r="L31" s="43" t="n">
        <f aca="false">IF($E31="","",IF(AND(L$4&gt;=$E31,L$4&lt;=$F31),IF($D31="Milestone","D",1),""))</f>
        <v>1</v>
      </c>
      <c r="M31" s="43" t="str">
        <f aca="false">IF($E31="","",IF(AND(M$4&gt;=$E31,M$4&lt;=$F31),IF($D31="Milestone","D",1),""))</f>
        <v/>
      </c>
      <c r="N31" s="43" t="str">
        <f aca="false">IF($E31="","",IF(AND(N$4&gt;=$E31,N$4&lt;=$F31),IF($D31="Milestone","D",1),""))</f>
        <v/>
      </c>
      <c r="O31" s="43" t="str">
        <f aca="false">IF($E31="","",IF(AND(O$4&gt;=$E31,O$4&lt;=$F31),IF($D31="Milestone","D",1),""))</f>
        <v/>
      </c>
      <c r="P31" s="43" t="str">
        <f aca="false">IF($E31="","",IF(AND(P$4&gt;=$E31,P$4&lt;=$F31),IF($D31="Milestone","D",1),""))</f>
        <v/>
      </c>
      <c r="Q31" s="43" t="str">
        <f aca="false">IF($E31="","",IF(AND(Q$4&gt;=$E31,Q$4&lt;=$F31),IF($D31="Milestone","D",1),""))</f>
        <v/>
      </c>
      <c r="R31" s="43" t="str">
        <f aca="false">IF($E31="","",IF(AND(R$4&gt;=$E31,R$4&lt;=$F31),IF($D31="Milestone","D",1),""))</f>
        <v/>
      </c>
      <c r="S31" s="43" t="str">
        <f aca="false">IF($E31="","",IF(AND(S$4&gt;=$E31,S$4&lt;=$F31),IF($D31="Milestone","D",1),""))</f>
        <v/>
      </c>
      <c r="T31" s="43" t="str">
        <f aca="false">IF($E31="","",IF(AND(T$4&gt;=$E31,T$4&lt;=$F31),IF($D31="Milestone","D",1),""))</f>
        <v/>
      </c>
      <c r="U31" s="43" t="str">
        <f aca="false">IF($E31="","",IF(AND(U$4&gt;=$E31,U$4&lt;=$F31),IF($D31="Milestone","D",1),""))</f>
        <v/>
      </c>
      <c r="V31" s="43" t="str">
        <f aca="false">IF($E31="","",IF(AND(V$4&gt;=$E31,V$4&lt;=$F31),IF($D31="Milestone","D",1),""))</f>
        <v/>
      </c>
      <c r="W31" s="43" t="str">
        <f aca="false">IF($E31="","",IF(AND(W$4&gt;=$E31,W$4&lt;=$F31),IF($D31="Milestone","D",1),""))</f>
        <v/>
      </c>
      <c r="X31" s="43" t="str">
        <f aca="false">IF($E31="","",IF(AND(X$4&gt;=$E31,X$4&lt;=$F31),IF($D31="Milestone","D",1),""))</f>
        <v/>
      </c>
      <c r="Y31" s="43" t="str">
        <f aca="false">IF($E31="","",IF(AND(Y$4&gt;=$E31,Y$4&lt;=$F31),IF($D31="Milestone","D",1),""))</f>
        <v/>
      </c>
      <c r="Z31" s="43" t="str">
        <f aca="false">IF($E31="","",IF(AND(Z$4&gt;=$E31,Z$4&lt;=$F31),IF($D31="Milestone","D",1),""))</f>
        <v/>
      </c>
      <c r="AA31" s="43" t="str">
        <f aca="false">IF($E31="","",IF(AND(AA$4&gt;=$E31,AA$4&lt;=$F31),IF($D31="Milestone","D",1),""))</f>
        <v/>
      </c>
      <c r="AB31" s="43" t="str">
        <f aca="false">IF($E31="","",IF(AND(AB$4&gt;=$E31,AB$4&lt;=$F31),IF($D31="Milestone","D",1),""))</f>
        <v/>
      </c>
      <c r="AC31" s="43" t="str">
        <f aca="false">IF($E31="","",IF(AND(AC$4&gt;=$E31,AC$4&lt;=$F31),IF($D31="Milestone","D",1),""))</f>
        <v/>
      </c>
      <c r="AD31" s="43" t="str">
        <f aca="false">IF($E31="","",IF(AND(AD$4&gt;=$E31,AD$4&lt;=$F31),IF($D31="Milestone","D",1),""))</f>
        <v/>
      </c>
      <c r="AE31" s="43" t="str">
        <f aca="false">IF($E31="","",IF(AND(AE$4&gt;=$E31,AE$4&lt;=$F31),IF($D31="Milestone","D",1),""))</f>
        <v/>
      </c>
      <c r="AF31" s="43" t="str">
        <f aca="false">IF($E31="","",IF(AND(AF$4&gt;=$E31,AF$4&lt;=$F31),IF($D31="Milestone","D",1),""))</f>
        <v/>
      </c>
      <c r="AG31" s="43" t="str">
        <f aca="false">IF($E31="","",IF(AND(AG$4&gt;=$E31,AG$4&lt;=$F31),IF($D31="Milestone","D",1),""))</f>
        <v/>
      </c>
      <c r="AH31" s="43" t="str">
        <f aca="false">IF($E31="","",IF(AND(AH$4&gt;=$E31,AH$4&lt;=$F31),IF($D31="Milestone","D",1),""))</f>
        <v/>
      </c>
    </row>
    <row r="32" customFormat="false" ht="15" hidden="false" customHeight="false" outlineLevel="0" collapsed="false">
      <c r="A32" s="40" t="str">
        <f aca="false">WBS!A29</f>
        <v>CT-06</v>
      </c>
      <c r="B32" s="41" t="str">
        <f aca="false">WBS!B29</f>
        <v>BMI270 driver</v>
      </c>
      <c r="C32" s="40" t="str">
        <f aca="false">WBS!E29</f>
        <v>Nicc</v>
      </c>
      <c r="D32" s="40" t="str">
        <f aca="false">WBS!D29</f>
        <v>Control &amp; Software</v>
      </c>
      <c r="E32" s="42" t="n">
        <f aca="false">WBS!L29</f>
        <v>46231</v>
      </c>
      <c r="F32" s="42" t="n">
        <f aca="false">WBS!M29</f>
        <v>46232</v>
      </c>
      <c r="G32" s="43" t="str">
        <f aca="false">IF($E32="","",IF(AND(G$4&gt;=$E32,G$4&lt;=$F32),IF($D32="Milestone","D",1),""))</f>
        <v/>
      </c>
      <c r="H32" s="43" t="str">
        <f aca="false">IF($E32="","",IF(AND(H$4&gt;=$E32,H$4&lt;=$F32),IF($D32="Milestone","D",1),""))</f>
        <v/>
      </c>
      <c r="I32" s="43" t="str">
        <f aca="false">IF($E32="","",IF(AND(I$4&gt;=$E32,I$4&lt;=$F32),IF($D32="Milestone","D",1),""))</f>
        <v/>
      </c>
      <c r="J32" s="43" t="str">
        <f aca="false">IF($E32="","",IF(AND(J$4&gt;=$E32,J$4&lt;=$F32),IF($D32="Milestone","D",1),""))</f>
        <v/>
      </c>
      <c r="K32" s="43" t="str">
        <f aca="false">IF($E32="","",IF(AND(K$4&gt;=$E32,K$4&lt;=$F32),IF($D32="Milestone","D",1),""))</f>
        <v/>
      </c>
      <c r="L32" s="43" t="n">
        <f aca="false">IF($E32="","",IF(AND(L$4&gt;=$E32,L$4&lt;=$F32),IF($D32="Milestone","D",1),""))</f>
        <v>1</v>
      </c>
      <c r="M32" s="43" t="n">
        <f aca="false">IF($E32="","",IF(AND(M$4&gt;=$E32,M$4&lt;=$F32),IF($D32="Milestone","D",1),""))</f>
        <v>1</v>
      </c>
      <c r="N32" s="43" t="str">
        <f aca="false">IF($E32="","",IF(AND(N$4&gt;=$E32,N$4&lt;=$F32),IF($D32="Milestone","D",1),""))</f>
        <v/>
      </c>
      <c r="O32" s="43" t="str">
        <f aca="false">IF($E32="","",IF(AND(O$4&gt;=$E32,O$4&lt;=$F32),IF($D32="Milestone","D",1),""))</f>
        <v/>
      </c>
      <c r="P32" s="43" t="str">
        <f aca="false">IF($E32="","",IF(AND(P$4&gt;=$E32,P$4&lt;=$F32),IF($D32="Milestone","D",1),""))</f>
        <v/>
      </c>
      <c r="Q32" s="43" t="str">
        <f aca="false">IF($E32="","",IF(AND(Q$4&gt;=$E32,Q$4&lt;=$F32),IF($D32="Milestone","D",1),""))</f>
        <v/>
      </c>
      <c r="R32" s="43" t="str">
        <f aca="false">IF($E32="","",IF(AND(R$4&gt;=$E32,R$4&lt;=$F32),IF($D32="Milestone","D",1),""))</f>
        <v/>
      </c>
      <c r="S32" s="43" t="str">
        <f aca="false">IF($E32="","",IF(AND(S$4&gt;=$E32,S$4&lt;=$F32),IF($D32="Milestone","D",1),""))</f>
        <v/>
      </c>
      <c r="T32" s="43" t="str">
        <f aca="false">IF($E32="","",IF(AND(T$4&gt;=$E32,T$4&lt;=$F32),IF($D32="Milestone","D",1),""))</f>
        <v/>
      </c>
      <c r="U32" s="43" t="str">
        <f aca="false">IF($E32="","",IF(AND(U$4&gt;=$E32,U$4&lt;=$F32),IF($D32="Milestone","D",1),""))</f>
        <v/>
      </c>
      <c r="V32" s="43" t="str">
        <f aca="false">IF($E32="","",IF(AND(V$4&gt;=$E32,V$4&lt;=$F32),IF($D32="Milestone","D",1),""))</f>
        <v/>
      </c>
      <c r="W32" s="43" t="str">
        <f aca="false">IF($E32="","",IF(AND(W$4&gt;=$E32,W$4&lt;=$F32),IF($D32="Milestone","D",1),""))</f>
        <v/>
      </c>
      <c r="X32" s="43" t="str">
        <f aca="false">IF($E32="","",IF(AND(X$4&gt;=$E32,X$4&lt;=$F32),IF($D32="Milestone","D",1),""))</f>
        <v/>
      </c>
      <c r="Y32" s="43" t="str">
        <f aca="false">IF($E32="","",IF(AND(Y$4&gt;=$E32,Y$4&lt;=$F32),IF($D32="Milestone","D",1),""))</f>
        <v/>
      </c>
      <c r="Z32" s="43" t="str">
        <f aca="false">IF($E32="","",IF(AND(Z$4&gt;=$E32,Z$4&lt;=$F32),IF($D32="Milestone","D",1),""))</f>
        <v/>
      </c>
      <c r="AA32" s="43" t="str">
        <f aca="false">IF($E32="","",IF(AND(AA$4&gt;=$E32,AA$4&lt;=$F32),IF($D32="Milestone","D",1),""))</f>
        <v/>
      </c>
      <c r="AB32" s="43" t="str">
        <f aca="false">IF($E32="","",IF(AND(AB$4&gt;=$E32,AB$4&lt;=$F32),IF($D32="Milestone","D",1),""))</f>
        <v/>
      </c>
      <c r="AC32" s="43" t="str">
        <f aca="false">IF($E32="","",IF(AND(AC$4&gt;=$E32,AC$4&lt;=$F32),IF($D32="Milestone","D",1),""))</f>
        <v/>
      </c>
      <c r="AD32" s="43" t="str">
        <f aca="false">IF($E32="","",IF(AND(AD$4&gt;=$E32,AD$4&lt;=$F32),IF($D32="Milestone","D",1),""))</f>
        <v/>
      </c>
      <c r="AE32" s="43" t="str">
        <f aca="false">IF($E32="","",IF(AND(AE$4&gt;=$E32,AE$4&lt;=$F32),IF($D32="Milestone","D",1),""))</f>
        <v/>
      </c>
      <c r="AF32" s="43" t="str">
        <f aca="false">IF($E32="","",IF(AND(AF$4&gt;=$E32,AF$4&lt;=$F32),IF($D32="Milestone","D",1),""))</f>
        <v/>
      </c>
      <c r="AG32" s="43" t="str">
        <f aca="false">IF($E32="","",IF(AND(AG$4&gt;=$E32,AG$4&lt;=$F32),IF($D32="Milestone","D",1),""))</f>
        <v/>
      </c>
      <c r="AH32" s="43" t="str">
        <f aca="false">IF($E32="","",IF(AND(AH$4&gt;=$E32,AH$4&lt;=$F32),IF($D32="Milestone","D",1),""))</f>
        <v/>
      </c>
    </row>
    <row r="33" customFormat="false" ht="15" hidden="false" customHeight="false" outlineLevel="0" collapsed="false">
      <c r="A33" s="40" t="str">
        <f aca="false">WBS!A30</f>
        <v>CT-07</v>
      </c>
      <c r="B33" s="41" t="str">
        <f aca="false">WBS!B30</f>
        <v>IMU cal + lever arm</v>
      </c>
      <c r="C33" s="40" t="str">
        <f aca="false">WBS!E30</f>
        <v>Nicc</v>
      </c>
      <c r="D33" s="40" t="str">
        <f aca="false">WBS!D30</f>
        <v>Control &amp; Software</v>
      </c>
      <c r="E33" s="42" t="n">
        <f aca="false">WBS!L30</f>
        <v>46232</v>
      </c>
      <c r="F33" s="42" t="n">
        <f aca="false">WBS!M30</f>
        <v>46233</v>
      </c>
      <c r="G33" s="43" t="str">
        <f aca="false">IF($E33="","",IF(AND(G$4&gt;=$E33,G$4&lt;=$F33),IF($D33="Milestone","D",1),""))</f>
        <v/>
      </c>
      <c r="H33" s="43" t="str">
        <f aca="false">IF($E33="","",IF(AND(H$4&gt;=$E33,H$4&lt;=$F33),IF($D33="Milestone","D",1),""))</f>
        <v/>
      </c>
      <c r="I33" s="43" t="str">
        <f aca="false">IF($E33="","",IF(AND(I$4&gt;=$E33,I$4&lt;=$F33),IF($D33="Milestone","D",1),""))</f>
        <v/>
      </c>
      <c r="J33" s="43" t="str">
        <f aca="false">IF($E33="","",IF(AND(J$4&gt;=$E33,J$4&lt;=$F33),IF($D33="Milestone","D",1),""))</f>
        <v/>
      </c>
      <c r="K33" s="43" t="str">
        <f aca="false">IF($E33="","",IF(AND(K$4&gt;=$E33,K$4&lt;=$F33),IF($D33="Milestone","D",1),""))</f>
        <v/>
      </c>
      <c r="L33" s="43" t="str">
        <f aca="false">IF($E33="","",IF(AND(L$4&gt;=$E33,L$4&lt;=$F33),IF($D33="Milestone","D",1),""))</f>
        <v/>
      </c>
      <c r="M33" s="43" t="n">
        <f aca="false">IF($E33="","",IF(AND(M$4&gt;=$E33,M$4&lt;=$F33),IF($D33="Milestone","D",1),""))</f>
        <v>1</v>
      </c>
      <c r="N33" s="43" t="n">
        <f aca="false">IF($E33="","",IF(AND(N$4&gt;=$E33,N$4&lt;=$F33),IF($D33="Milestone","D",1),""))</f>
        <v>1</v>
      </c>
      <c r="O33" s="43" t="str">
        <f aca="false">IF($E33="","",IF(AND(O$4&gt;=$E33,O$4&lt;=$F33),IF($D33="Milestone","D",1),""))</f>
        <v/>
      </c>
      <c r="P33" s="43" t="str">
        <f aca="false">IF($E33="","",IF(AND(P$4&gt;=$E33,P$4&lt;=$F33),IF($D33="Milestone","D",1),""))</f>
        <v/>
      </c>
      <c r="Q33" s="43" t="str">
        <f aca="false">IF($E33="","",IF(AND(Q$4&gt;=$E33,Q$4&lt;=$F33),IF($D33="Milestone","D",1),""))</f>
        <v/>
      </c>
      <c r="R33" s="43" t="str">
        <f aca="false">IF($E33="","",IF(AND(R$4&gt;=$E33,R$4&lt;=$F33),IF($D33="Milestone","D",1),""))</f>
        <v/>
      </c>
      <c r="S33" s="43" t="str">
        <f aca="false">IF($E33="","",IF(AND(S$4&gt;=$E33,S$4&lt;=$F33),IF($D33="Milestone","D",1),""))</f>
        <v/>
      </c>
      <c r="T33" s="43" t="str">
        <f aca="false">IF($E33="","",IF(AND(T$4&gt;=$E33,T$4&lt;=$F33),IF($D33="Milestone","D",1),""))</f>
        <v/>
      </c>
      <c r="U33" s="43" t="str">
        <f aca="false">IF($E33="","",IF(AND(U$4&gt;=$E33,U$4&lt;=$F33),IF($D33="Milestone","D",1),""))</f>
        <v/>
      </c>
      <c r="V33" s="43" t="str">
        <f aca="false">IF($E33="","",IF(AND(V$4&gt;=$E33,V$4&lt;=$F33),IF($D33="Milestone","D",1),""))</f>
        <v/>
      </c>
      <c r="W33" s="43" t="str">
        <f aca="false">IF($E33="","",IF(AND(W$4&gt;=$E33,W$4&lt;=$F33),IF($D33="Milestone","D",1),""))</f>
        <v/>
      </c>
      <c r="X33" s="43" t="str">
        <f aca="false">IF($E33="","",IF(AND(X$4&gt;=$E33,X$4&lt;=$F33),IF($D33="Milestone","D",1),""))</f>
        <v/>
      </c>
      <c r="Y33" s="43" t="str">
        <f aca="false">IF($E33="","",IF(AND(Y$4&gt;=$E33,Y$4&lt;=$F33),IF($D33="Milestone","D",1),""))</f>
        <v/>
      </c>
      <c r="Z33" s="43" t="str">
        <f aca="false">IF($E33="","",IF(AND(Z$4&gt;=$E33,Z$4&lt;=$F33),IF($D33="Milestone","D",1),""))</f>
        <v/>
      </c>
      <c r="AA33" s="43" t="str">
        <f aca="false">IF($E33="","",IF(AND(AA$4&gt;=$E33,AA$4&lt;=$F33),IF($D33="Milestone","D",1),""))</f>
        <v/>
      </c>
      <c r="AB33" s="43" t="str">
        <f aca="false">IF($E33="","",IF(AND(AB$4&gt;=$E33,AB$4&lt;=$F33),IF($D33="Milestone","D",1),""))</f>
        <v/>
      </c>
      <c r="AC33" s="43" t="str">
        <f aca="false">IF($E33="","",IF(AND(AC$4&gt;=$E33,AC$4&lt;=$F33),IF($D33="Milestone","D",1),""))</f>
        <v/>
      </c>
      <c r="AD33" s="43" t="str">
        <f aca="false">IF($E33="","",IF(AND(AD$4&gt;=$E33,AD$4&lt;=$F33),IF($D33="Milestone","D",1),""))</f>
        <v/>
      </c>
      <c r="AE33" s="43" t="str">
        <f aca="false">IF($E33="","",IF(AND(AE$4&gt;=$E33,AE$4&lt;=$F33),IF($D33="Milestone","D",1),""))</f>
        <v/>
      </c>
      <c r="AF33" s="43" t="str">
        <f aca="false">IF($E33="","",IF(AND(AF$4&gt;=$E33,AF$4&lt;=$F33),IF($D33="Milestone","D",1),""))</f>
        <v/>
      </c>
      <c r="AG33" s="43" t="str">
        <f aca="false">IF($E33="","",IF(AND(AG$4&gt;=$E33,AG$4&lt;=$F33),IF($D33="Milestone","D",1),""))</f>
        <v/>
      </c>
      <c r="AH33" s="43" t="str">
        <f aca="false">IF($E33="","",IF(AND(AH$4&gt;=$E33,AH$4&lt;=$F33),IF($D33="Milestone","D",1),""))</f>
        <v/>
      </c>
    </row>
    <row r="34" customFormat="false" ht="15" hidden="false" customHeight="false" outlineLevel="0" collapsed="false">
      <c r="A34" s="40" t="str">
        <f aca="false">WBS!A31</f>
        <v>CT-08</v>
      </c>
      <c r="B34" s="41" t="str">
        <f aca="false">WBS!B31</f>
        <v>Telemetry link</v>
      </c>
      <c r="C34" s="40" t="str">
        <f aca="false">WBS!E31</f>
        <v>Nicc</v>
      </c>
      <c r="D34" s="40" t="str">
        <f aca="false">WBS!D31</f>
        <v>Control &amp; Software</v>
      </c>
      <c r="E34" s="42" t="n">
        <f aca="false">WBS!L31</f>
        <v>46233</v>
      </c>
      <c r="F34" s="42" t="n">
        <f aca="false">WBS!M31</f>
        <v>46235</v>
      </c>
      <c r="G34" s="43" t="str">
        <f aca="false">IF($E34="","",IF(AND(G$4&gt;=$E34,G$4&lt;=$F34),IF($D34="Milestone","D",1),""))</f>
        <v/>
      </c>
      <c r="H34" s="43" t="str">
        <f aca="false">IF($E34="","",IF(AND(H$4&gt;=$E34,H$4&lt;=$F34),IF($D34="Milestone","D",1),""))</f>
        <v/>
      </c>
      <c r="I34" s="43" t="str">
        <f aca="false">IF($E34="","",IF(AND(I$4&gt;=$E34,I$4&lt;=$F34),IF($D34="Milestone","D",1),""))</f>
        <v/>
      </c>
      <c r="J34" s="43" t="str">
        <f aca="false">IF($E34="","",IF(AND(J$4&gt;=$E34,J$4&lt;=$F34),IF($D34="Milestone","D",1),""))</f>
        <v/>
      </c>
      <c r="K34" s="43" t="str">
        <f aca="false">IF($E34="","",IF(AND(K$4&gt;=$E34,K$4&lt;=$F34),IF($D34="Milestone","D",1),""))</f>
        <v/>
      </c>
      <c r="L34" s="43" t="str">
        <f aca="false">IF($E34="","",IF(AND(L$4&gt;=$E34,L$4&lt;=$F34),IF($D34="Milestone","D",1),""))</f>
        <v/>
      </c>
      <c r="M34" s="43" t="str">
        <f aca="false">IF($E34="","",IF(AND(M$4&gt;=$E34,M$4&lt;=$F34),IF($D34="Milestone","D",1),""))</f>
        <v/>
      </c>
      <c r="N34" s="43" t="n">
        <f aca="false">IF($E34="","",IF(AND(N$4&gt;=$E34,N$4&lt;=$F34),IF($D34="Milestone","D",1),""))</f>
        <v>1</v>
      </c>
      <c r="O34" s="43" t="n">
        <f aca="false">IF($E34="","",IF(AND(O$4&gt;=$E34,O$4&lt;=$F34),IF($D34="Milestone","D",1),""))</f>
        <v>1</v>
      </c>
      <c r="P34" s="43" t="n">
        <f aca="false">IF($E34="","",IF(AND(P$4&gt;=$E34,P$4&lt;=$F34),IF($D34="Milestone","D",1),""))</f>
        <v>1</v>
      </c>
      <c r="Q34" s="43" t="str">
        <f aca="false">IF($E34="","",IF(AND(Q$4&gt;=$E34,Q$4&lt;=$F34),IF($D34="Milestone","D",1),""))</f>
        <v/>
      </c>
      <c r="R34" s="43" t="str">
        <f aca="false">IF($E34="","",IF(AND(R$4&gt;=$E34,R$4&lt;=$F34),IF($D34="Milestone","D",1),""))</f>
        <v/>
      </c>
      <c r="S34" s="43" t="str">
        <f aca="false">IF($E34="","",IF(AND(S$4&gt;=$E34,S$4&lt;=$F34),IF($D34="Milestone","D",1),""))</f>
        <v/>
      </c>
      <c r="T34" s="43" t="str">
        <f aca="false">IF($E34="","",IF(AND(T$4&gt;=$E34,T$4&lt;=$F34),IF($D34="Milestone","D",1),""))</f>
        <v/>
      </c>
      <c r="U34" s="43" t="str">
        <f aca="false">IF($E34="","",IF(AND(U$4&gt;=$E34,U$4&lt;=$F34),IF($D34="Milestone","D",1),""))</f>
        <v/>
      </c>
      <c r="V34" s="43" t="str">
        <f aca="false">IF($E34="","",IF(AND(V$4&gt;=$E34,V$4&lt;=$F34),IF($D34="Milestone","D",1),""))</f>
        <v/>
      </c>
      <c r="W34" s="43" t="str">
        <f aca="false">IF($E34="","",IF(AND(W$4&gt;=$E34,W$4&lt;=$F34),IF($D34="Milestone","D",1),""))</f>
        <v/>
      </c>
      <c r="X34" s="43" t="str">
        <f aca="false">IF($E34="","",IF(AND(X$4&gt;=$E34,X$4&lt;=$F34),IF($D34="Milestone","D",1),""))</f>
        <v/>
      </c>
      <c r="Y34" s="43" t="str">
        <f aca="false">IF($E34="","",IF(AND(Y$4&gt;=$E34,Y$4&lt;=$F34),IF($D34="Milestone","D",1),""))</f>
        <v/>
      </c>
      <c r="Z34" s="43" t="str">
        <f aca="false">IF($E34="","",IF(AND(Z$4&gt;=$E34,Z$4&lt;=$F34),IF($D34="Milestone","D",1),""))</f>
        <v/>
      </c>
      <c r="AA34" s="43" t="str">
        <f aca="false">IF($E34="","",IF(AND(AA$4&gt;=$E34,AA$4&lt;=$F34),IF($D34="Milestone","D",1),""))</f>
        <v/>
      </c>
      <c r="AB34" s="43" t="str">
        <f aca="false">IF($E34="","",IF(AND(AB$4&gt;=$E34,AB$4&lt;=$F34),IF($D34="Milestone","D",1),""))</f>
        <v/>
      </c>
      <c r="AC34" s="43" t="str">
        <f aca="false">IF($E34="","",IF(AND(AC$4&gt;=$E34,AC$4&lt;=$F34),IF($D34="Milestone","D",1),""))</f>
        <v/>
      </c>
      <c r="AD34" s="43" t="str">
        <f aca="false">IF($E34="","",IF(AND(AD$4&gt;=$E34,AD$4&lt;=$F34),IF($D34="Milestone","D",1),""))</f>
        <v/>
      </c>
      <c r="AE34" s="43" t="str">
        <f aca="false">IF($E34="","",IF(AND(AE$4&gt;=$E34,AE$4&lt;=$F34),IF($D34="Milestone","D",1),""))</f>
        <v/>
      </c>
      <c r="AF34" s="43" t="str">
        <f aca="false">IF($E34="","",IF(AND(AF$4&gt;=$E34,AF$4&lt;=$F34),IF($D34="Milestone","D",1),""))</f>
        <v/>
      </c>
      <c r="AG34" s="43" t="str">
        <f aca="false">IF($E34="","",IF(AND(AG$4&gt;=$E34,AG$4&lt;=$F34),IF($D34="Milestone","D",1),""))</f>
        <v/>
      </c>
      <c r="AH34" s="43" t="str">
        <f aca="false">IF($E34="","",IF(AND(AH$4&gt;=$E34,AH$4&lt;=$F34),IF($D34="Milestone","D",1),""))</f>
        <v/>
      </c>
    </row>
    <row r="35" customFormat="false" ht="15" hidden="false" customHeight="false" outlineLevel="0" collapsed="false">
      <c r="A35" s="40" t="str">
        <f aca="false">WBS!A32</f>
        <v>CT-09</v>
      </c>
      <c r="B35" s="41" t="str">
        <f aca="false">WBS!B32</f>
        <v>Safety layer</v>
      </c>
      <c r="C35" s="40" t="str">
        <f aca="false">WBS!E32</f>
        <v>Nicc</v>
      </c>
      <c r="D35" s="40" t="str">
        <f aca="false">WBS!D32</f>
        <v>Control &amp; Software</v>
      </c>
      <c r="E35" s="42" t="n">
        <f aca="false">WBS!L32</f>
        <v>46233</v>
      </c>
      <c r="F35" s="42" t="n">
        <f aca="false">WBS!M32</f>
        <v>46234</v>
      </c>
      <c r="G35" s="43" t="str">
        <f aca="false">IF($E35="","",IF(AND(G$4&gt;=$E35,G$4&lt;=$F35),IF($D35="Milestone","D",1),""))</f>
        <v/>
      </c>
      <c r="H35" s="43" t="str">
        <f aca="false">IF($E35="","",IF(AND(H$4&gt;=$E35,H$4&lt;=$F35),IF($D35="Milestone","D",1),""))</f>
        <v/>
      </c>
      <c r="I35" s="43" t="str">
        <f aca="false">IF($E35="","",IF(AND(I$4&gt;=$E35,I$4&lt;=$F35),IF($D35="Milestone","D",1),""))</f>
        <v/>
      </c>
      <c r="J35" s="43" t="str">
        <f aca="false">IF($E35="","",IF(AND(J$4&gt;=$E35,J$4&lt;=$F35),IF($D35="Milestone","D",1),""))</f>
        <v/>
      </c>
      <c r="K35" s="43" t="str">
        <f aca="false">IF($E35="","",IF(AND(K$4&gt;=$E35,K$4&lt;=$F35),IF($D35="Milestone","D",1),""))</f>
        <v/>
      </c>
      <c r="L35" s="43" t="str">
        <f aca="false">IF($E35="","",IF(AND(L$4&gt;=$E35,L$4&lt;=$F35),IF($D35="Milestone","D",1),""))</f>
        <v/>
      </c>
      <c r="M35" s="43" t="str">
        <f aca="false">IF($E35="","",IF(AND(M$4&gt;=$E35,M$4&lt;=$F35),IF($D35="Milestone","D",1),""))</f>
        <v/>
      </c>
      <c r="N35" s="43" t="n">
        <f aca="false">IF($E35="","",IF(AND(N$4&gt;=$E35,N$4&lt;=$F35),IF($D35="Milestone","D",1),""))</f>
        <v>1</v>
      </c>
      <c r="O35" s="43" t="n">
        <f aca="false">IF($E35="","",IF(AND(O$4&gt;=$E35,O$4&lt;=$F35),IF($D35="Milestone","D",1),""))</f>
        <v>1</v>
      </c>
      <c r="P35" s="43" t="str">
        <f aca="false">IF($E35="","",IF(AND(P$4&gt;=$E35,P$4&lt;=$F35),IF($D35="Milestone","D",1),""))</f>
        <v/>
      </c>
      <c r="Q35" s="43" t="str">
        <f aca="false">IF($E35="","",IF(AND(Q$4&gt;=$E35,Q$4&lt;=$F35),IF($D35="Milestone","D",1),""))</f>
        <v/>
      </c>
      <c r="R35" s="43" t="str">
        <f aca="false">IF($E35="","",IF(AND(R$4&gt;=$E35,R$4&lt;=$F35),IF($D35="Milestone","D",1),""))</f>
        <v/>
      </c>
      <c r="S35" s="43" t="str">
        <f aca="false">IF($E35="","",IF(AND(S$4&gt;=$E35,S$4&lt;=$F35),IF($D35="Milestone","D",1),""))</f>
        <v/>
      </c>
      <c r="T35" s="43" t="str">
        <f aca="false">IF($E35="","",IF(AND(T$4&gt;=$E35,T$4&lt;=$F35),IF($D35="Milestone","D",1),""))</f>
        <v/>
      </c>
      <c r="U35" s="43" t="str">
        <f aca="false">IF($E35="","",IF(AND(U$4&gt;=$E35,U$4&lt;=$F35),IF($D35="Milestone","D",1),""))</f>
        <v/>
      </c>
      <c r="V35" s="43" t="str">
        <f aca="false">IF($E35="","",IF(AND(V$4&gt;=$E35,V$4&lt;=$F35),IF($D35="Milestone","D",1),""))</f>
        <v/>
      </c>
      <c r="W35" s="43" t="str">
        <f aca="false">IF($E35="","",IF(AND(W$4&gt;=$E35,W$4&lt;=$F35),IF($D35="Milestone","D",1),""))</f>
        <v/>
      </c>
      <c r="X35" s="43" t="str">
        <f aca="false">IF($E35="","",IF(AND(X$4&gt;=$E35,X$4&lt;=$F35),IF($D35="Milestone","D",1),""))</f>
        <v/>
      </c>
      <c r="Y35" s="43" t="str">
        <f aca="false">IF($E35="","",IF(AND(Y$4&gt;=$E35,Y$4&lt;=$F35),IF($D35="Milestone","D",1),""))</f>
        <v/>
      </c>
      <c r="Z35" s="43" t="str">
        <f aca="false">IF($E35="","",IF(AND(Z$4&gt;=$E35,Z$4&lt;=$F35),IF($D35="Milestone","D",1),""))</f>
        <v/>
      </c>
      <c r="AA35" s="43" t="str">
        <f aca="false">IF($E35="","",IF(AND(AA$4&gt;=$E35,AA$4&lt;=$F35),IF($D35="Milestone","D",1),""))</f>
        <v/>
      </c>
      <c r="AB35" s="43" t="str">
        <f aca="false">IF($E35="","",IF(AND(AB$4&gt;=$E35,AB$4&lt;=$F35),IF($D35="Milestone","D",1),""))</f>
        <v/>
      </c>
      <c r="AC35" s="43" t="str">
        <f aca="false">IF($E35="","",IF(AND(AC$4&gt;=$E35,AC$4&lt;=$F35),IF($D35="Milestone","D",1),""))</f>
        <v/>
      </c>
      <c r="AD35" s="43" t="str">
        <f aca="false">IF($E35="","",IF(AND(AD$4&gt;=$E35,AD$4&lt;=$F35),IF($D35="Milestone","D",1),""))</f>
        <v/>
      </c>
      <c r="AE35" s="43" t="str">
        <f aca="false">IF($E35="","",IF(AND(AE$4&gt;=$E35,AE$4&lt;=$F35),IF($D35="Milestone","D",1),""))</f>
        <v/>
      </c>
      <c r="AF35" s="43" t="str">
        <f aca="false">IF($E35="","",IF(AND(AF$4&gt;=$E35,AF$4&lt;=$F35),IF($D35="Milestone","D",1),""))</f>
        <v/>
      </c>
      <c r="AG35" s="43" t="str">
        <f aca="false">IF($E35="","",IF(AND(AG$4&gt;=$E35,AG$4&lt;=$F35),IF($D35="Milestone","D",1),""))</f>
        <v/>
      </c>
      <c r="AH35" s="43" t="str">
        <f aca="false">IF($E35="","",IF(AND(AH$4&gt;=$E35,AH$4&lt;=$F35),IF($D35="Milestone","D",1),""))</f>
        <v/>
      </c>
    </row>
    <row r="36" customFormat="false" ht="15" hidden="false" customHeight="false" outlineLevel="0" collapsed="false">
      <c r="A36" s="40" t="str">
        <f aca="false">WBS!A33</f>
        <v>CT-10</v>
      </c>
      <c r="B36" s="41" t="str">
        <f aca="false">WBS!B33</f>
        <v>S1 - balance 1-DoF rig</v>
      </c>
      <c r="C36" s="40" t="str">
        <f aca="false">WBS!E33</f>
        <v>Nicc</v>
      </c>
      <c r="D36" s="40" t="str">
        <f aca="false">WBS!D33</f>
        <v>Control &amp; Software</v>
      </c>
      <c r="E36" s="42" t="n">
        <f aca="false">WBS!L33</f>
        <v>46234</v>
      </c>
      <c r="F36" s="42" t="n">
        <f aca="false">WBS!M33</f>
        <v>46236</v>
      </c>
      <c r="G36" s="43" t="str">
        <f aca="false">IF($E36="","",IF(AND(G$4&gt;=$E36,G$4&lt;=$F36),IF($D36="Milestone","D",1),""))</f>
        <v/>
      </c>
      <c r="H36" s="43" t="str">
        <f aca="false">IF($E36="","",IF(AND(H$4&gt;=$E36,H$4&lt;=$F36),IF($D36="Milestone","D",1),""))</f>
        <v/>
      </c>
      <c r="I36" s="43" t="str">
        <f aca="false">IF($E36="","",IF(AND(I$4&gt;=$E36,I$4&lt;=$F36),IF($D36="Milestone","D",1),""))</f>
        <v/>
      </c>
      <c r="J36" s="43" t="str">
        <f aca="false">IF($E36="","",IF(AND(J$4&gt;=$E36,J$4&lt;=$F36),IF($D36="Milestone","D",1),""))</f>
        <v/>
      </c>
      <c r="K36" s="43" t="str">
        <f aca="false">IF($E36="","",IF(AND(K$4&gt;=$E36,K$4&lt;=$F36),IF($D36="Milestone","D",1),""))</f>
        <v/>
      </c>
      <c r="L36" s="43" t="str">
        <f aca="false">IF($E36="","",IF(AND(L$4&gt;=$E36,L$4&lt;=$F36),IF($D36="Milestone","D",1),""))</f>
        <v/>
      </c>
      <c r="M36" s="43" t="str">
        <f aca="false">IF($E36="","",IF(AND(M$4&gt;=$E36,M$4&lt;=$F36),IF($D36="Milestone","D",1),""))</f>
        <v/>
      </c>
      <c r="N36" s="43" t="str">
        <f aca="false">IF($E36="","",IF(AND(N$4&gt;=$E36,N$4&lt;=$F36),IF($D36="Milestone","D",1),""))</f>
        <v/>
      </c>
      <c r="O36" s="43" t="n">
        <f aca="false">IF($E36="","",IF(AND(O$4&gt;=$E36,O$4&lt;=$F36),IF($D36="Milestone","D",1),""))</f>
        <v>1</v>
      </c>
      <c r="P36" s="43" t="n">
        <f aca="false">IF($E36="","",IF(AND(P$4&gt;=$E36,P$4&lt;=$F36),IF($D36="Milestone","D",1),""))</f>
        <v>1</v>
      </c>
      <c r="Q36" s="43" t="n">
        <f aca="false">IF($E36="","",IF(AND(Q$4&gt;=$E36,Q$4&lt;=$F36),IF($D36="Milestone","D",1),""))</f>
        <v>1</v>
      </c>
      <c r="R36" s="43" t="str">
        <f aca="false">IF($E36="","",IF(AND(R$4&gt;=$E36,R$4&lt;=$F36),IF($D36="Milestone","D",1),""))</f>
        <v/>
      </c>
      <c r="S36" s="43" t="str">
        <f aca="false">IF($E36="","",IF(AND(S$4&gt;=$E36,S$4&lt;=$F36),IF($D36="Milestone","D",1),""))</f>
        <v/>
      </c>
      <c r="T36" s="43" t="str">
        <f aca="false">IF($E36="","",IF(AND(T$4&gt;=$E36,T$4&lt;=$F36),IF($D36="Milestone","D",1),""))</f>
        <v/>
      </c>
      <c r="U36" s="43" t="str">
        <f aca="false">IF($E36="","",IF(AND(U$4&gt;=$E36,U$4&lt;=$F36),IF($D36="Milestone","D",1),""))</f>
        <v/>
      </c>
      <c r="V36" s="43" t="str">
        <f aca="false">IF($E36="","",IF(AND(V$4&gt;=$E36,V$4&lt;=$F36),IF($D36="Milestone","D",1),""))</f>
        <v/>
      </c>
      <c r="W36" s="43" t="str">
        <f aca="false">IF($E36="","",IF(AND(W$4&gt;=$E36,W$4&lt;=$F36),IF($D36="Milestone","D",1),""))</f>
        <v/>
      </c>
      <c r="X36" s="43" t="str">
        <f aca="false">IF($E36="","",IF(AND(X$4&gt;=$E36,X$4&lt;=$F36),IF($D36="Milestone","D",1),""))</f>
        <v/>
      </c>
      <c r="Y36" s="43" t="str">
        <f aca="false">IF($E36="","",IF(AND(Y$4&gt;=$E36,Y$4&lt;=$F36),IF($D36="Milestone","D",1),""))</f>
        <v/>
      </c>
      <c r="Z36" s="43" t="str">
        <f aca="false">IF($E36="","",IF(AND(Z$4&gt;=$E36,Z$4&lt;=$F36),IF($D36="Milestone","D",1),""))</f>
        <v/>
      </c>
      <c r="AA36" s="43" t="str">
        <f aca="false">IF($E36="","",IF(AND(AA$4&gt;=$E36,AA$4&lt;=$F36),IF($D36="Milestone","D",1),""))</f>
        <v/>
      </c>
      <c r="AB36" s="43" t="str">
        <f aca="false">IF($E36="","",IF(AND(AB$4&gt;=$E36,AB$4&lt;=$F36),IF($D36="Milestone","D",1),""))</f>
        <v/>
      </c>
      <c r="AC36" s="43" t="str">
        <f aca="false">IF($E36="","",IF(AND(AC$4&gt;=$E36,AC$4&lt;=$F36),IF($D36="Milestone","D",1),""))</f>
        <v/>
      </c>
      <c r="AD36" s="43" t="str">
        <f aca="false">IF($E36="","",IF(AND(AD$4&gt;=$E36,AD$4&lt;=$F36),IF($D36="Milestone","D",1),""))</f>
        <v/>
      </c>
      <c r="AE36" s="43" t="str">
        <f aca="false">IF($E36="","",IF(AND(AE$4&gt;=$E36,AE$4&lt;=$F36),IF($D36="Milestone","D",1),""))</f>
        <v/>
      </c>
      <c r="AF36" s="43" t="str">
        <f aca="false">IF($E36="","",IF(AND(AF$4&gt;=$E36,AF$4&lt;=$F36),IF($D36="Milestone","D",1),""))</f>
        <v/>
      </c>
      <c r="AG36" s="43" t="str">
        <f aca="false">IF($E36="","",IF(AND(AG$4&gt;=$E36,AG$4&lt;=$F36),IF($D36="Milestone","D",1),""))</f>
        <v/>
      </c>
      <c r="AH36" s="43" t="str">
        <f aca="false">IF($E36="","",IF(AND(AH$4&gt;=$E36,AH$4&lt;=$F36),IF($D36="Milestone","D",1),""))</f>
        <v/>
      </c>
    </row>
    <row r="37" customFormat="false" ht="15" hidden="false" customHeight="false" outlineLevel="0" collapsed="false">
      <c r="A37" s="40" t="str">
        <f aca="false">WBS!A34</f>
        <v>CT-11</v>
      </c>
      <c r="B37" s="41" t="str">
        <f aca="false">WBS!B34</f>
        <v>System ID on rig</v>
      </c>
      <c r="C37" s="40" t="str">
        <f aca="false">WBS!E34</f>
        <v>Andrea</v>
      </c>
      <c r="D37" s="40" t="str">
        <f aca="false">WBS!D34</f>
        <v>Control &amp; Software</v>
      </c>
      <c r="E37" s="42" t="n">
        <f aca="false">WBS!L34</f>
        <v>46235</v>
      </c>
      <c r="F37" s="42" t="n">
        <f aca="false">WBS!M34</f>
        <v>46236</v>
      </c>
      <c r="G37" s="43" t="str">
        <f aca="false">IF($E37="","",IF(AND(G$4&gt;=$E37,G$4&lt;=$F37),IF($D37="Milestone","D",1),""))</f>
        <v/>
      </c>
      <c r="H37" s="43" t="str">
        <f aca="false">IF($E37="","",IF(AND(H$4&gt;=$E37,H$4&lt;=$F37),IF($D37="Milestone","D",1),""))</f>
        <v/>
      </c>
      <c r="I37" s="43" t="str">
        <f aca="false">IF($E37="","",IF(AND(I$4&gt;=$E37,I$4&lt;=$F37),IF($D37="Milestone","D",1),""))</f>
        <v/>
      </c>
      <c r="J37" s="43" t="str">
        <f aca="false">IF($E37="","",IF(AND(J$4&gt;=$E37,J$4&lt;=$F37),IF($D37="Milestone","D",1),""))</f>
        <v/>
      </c>
      <c r="K37" s="43" t="str">
        <f aca="false">IF($E37="","",IF(AND(K$4&gt;=$E37,K$4&lt;=$F37),IF($D37="Milestone","D",1),""))</f>
        <v/>
      </c>
      <c r="L37" s="43" t="str">
        <f aca="false">IF($E37="","",IF(AND(L$4&gt;=$E37,L$4&lt;=$F37),IF($D37="Milestone","D",1),""))</f>
        <v/>
      </c>
      <c r="M37" s="43" t="str">
        <f aca="false">IF($E37="","",IF(AND(M$4&gt;=$E37,M$4&lt;=$F37),IF($D37="Milestone","D",1),""))</f>
        <v/>
      </c>
      <c r="N37" s="43" t="str">
        <f aca="false">IF($E37="","",IF(AND(N$4&gt;=$E37,N$4&lt;=$F37),IF($D37="Milestone","D",1),""))</f>
        <v/>
      </c>
      <c r="O37" s="43" t="str">
        <f aca="false">IF($E37="","",IF(AND(O$4&gt;=$E37,O$4&lt;=$F37),IF($D37="Milestone","D",1),""))</f>
        <v/>
      </c>
      <c r="P37" s="43" t="n">
        <f aca="false">IF($E37="","",IF(AND(P$4&gt;=$E37,P$4&lt;=$F37),IF($D37="Milestone","D",1),""))</f>
        <v>1</v>
      </c>
      <c r="Q37" s="43" t="n">
        <f aca="false">IF($E37="","",IF(AND(Q$4&gt;=$E37,Q$4&lt;=$F37),IF($D37="Milestone","D",1),""))</f>
        <v>1</v>
      </c>
      <c r="R37" s="43" t="str">
        <f aca="false">IF($E37="","",IF(AND(R$4&gt;=$E37,R$4&lt;=$F37),IF($D37="Milestone","D",1),""))</f>
        <v/>
      </c>
      <c r="S37" s="43" t="str">
        <f aca="false">IF($E37="","",IF(AND(S$4&gt;=$E37,S$4&lt;=$F37),IF($D37="Milestone","D",1),""))</f>
        <v/>
      </c>
      <c r="T37" s="43" t="str">
        <f aca="false">IF($E37="","",IF(AND(T$4&gt;=$E37,T$4&lt;=$F37),IF($D37="Milestone","D",1),""))</f>
        <v/>
      </c>
      <c r="U37" s="43" t="str">
        <f aca="false">IF($E37="","",IF(AND(U$4&gt;=$E37,U$4&lt;=$F37),IF($D37="Milestone","D",1),""))</f>
        <v/>
      </c>
      <c r="V37" s="43" t="str">
        <f aca="false">IF($E37="","",IF(AND(V$4&gt;=$E37,V$4&lt;=$F37),IF($D37="Milestone","D",1),""))</f>
        <v/>
      </c>
      <c r="W37" s="43" t="str">
        <f aca="false">IF($E37="","",IF(AND(W$4&gt;=$E37,W$4&lt;=$F37),IF($D37="Milestone","D",1),""))</f>
        <v/>
      </c>
      <c r="X37" s="43" t="str">
        <f aca="false">IF($E37="","",IF(AND(X$4&gt;=$E37,X$4&lt;=$F37),IF($D37="Milestone","D",1),""))</f>
        <v/>
      </c>
      <c r="Y37" s="43" t="str">
        <f aca="false">IF($E37="","",IF(AND(Y$4&gt;=$E37,Y$4&lt;=$F37),IF($D37="Milestone","D",1),""))</f>
        <v/>
      </c>
      <c r="Z37" s="43" t="str">
        <f aca="false">IF($E37="","",IF(AND(Z$4&gt;=$E37,Z$4&lt;=$F37),IF($D37="Milestone","D",1),""))</f>
        <v/>
      </c>
      <c r="AA37" s="43" t="str">
        <f aca="false">IF($E37="","",IF(AND(AA$4&gt;=$E37,AA$4&lt;=$F37),IF($D37="Milestone","D",1),""))</f>
        <v/>
      </c>
      <c r="AB37" s="43" t="str">
        <f aca="false">IF($E37="","",IF(AND(AB$4&gt;=$E37,AB$4&lt;=$F37),IF($D37="Milestone","D",1),""))</f>
        <v/>
      </c>
      <c r="AC37" s="43" t="str">
        <f aca="false">IF($E37="","",IF(AND(AC$4&gt;=$E37,AC$4&lt;=$F37),IF($D37="Milestone","D",1),""))</f>
        <v/>
      </c>
      <c r="AD37" s="43" t="str">
        <f aca="false">IF($E37="","",IF(AND(AD$4&gt;=$E37,AD$4&lt;=$F37),IF($D37="Milestone","D",1),""))</f>
        <v/>
      </c>
      <c r="AE37" s="43" t="str">
        <f aca="false">IF($E37="","",IF(AND(AE$4&gt;=$E37,AE$4&lt;=$F37),IF($D37="Milestone","D",1),""))</f>
        <v/>
      </c>
      <c r="AF37" s="43" t="str">
        <f aca="false">IF($E37="","",IF(AND(AF$4&gt;=$E37,AF$4&lt;=$F37),IF($D37="Milestone","D",1),""))</f>
        <v/>
      </c>
      <c r="AG37" s="43" t="str">
        <f aca="false">IF($E37="","",IF(AND(AG$4&gt;=$E37,AG$4&lt;=$F37),IF($D37="Milestone","D",1),""))</f>
        <v/>
      </c>
      <c r="AH37" s="43" t="str">
        <f aca="false">IF($E37="","",IF(AND(AH$4&gt;=$E37,AH$4&lt;=$F37),IF($D37="Milestone","D",1),""))</f>
        <v/>
      </c>
    </row>
    <row r="38" customFormat="false" ht="15" hidden="false" customHeight="false" outlineLevel="0" collapsed="false">
      <c r="A38" s="40" t="str">
        <f aca="false">WBS!A35</f>
        <v>CT-12</v>
      </c>
      <c r="B38" s="41" t="str">
        <f aca="false">WBS!B35</f>
        <v>3D plant model (sim)</v>
      </c>
      <c r="C38" s="40" t="str">
        <f aca="false">WBS!E35</f>
        <v>Andrea</v>
      </c>
      <c r="D38" s="40" t="str">
        <f aca="false">WBS!D35</f>
        <v>Control &amp; Software</v>
      </c>
      <c r="E38" s="42" t="n">
        <f aca="false">WBS!L35</f>
        <v>46237</v>
      </c>
      <c r="F38" s="42" t="n">
        <f aca="false">WBS!M35</f>
        <v>46238</v>
      </c>
      <c r="G38" s="43" t="str">
        <f aca="false">IF($E38="","",IF(AND(G$4&gt;=$E38,G$4&lt;=$F38),IF($D38="Milestone","D",1),""))</f>
        <v/>
      </c>
      <c r="H38" s="43" t="str">
        <f aca="false">IF($E38="","",IF(AND(H$4&gt;=$E38,H$4&lt;=$F38),IF($D38="Milestone","D",1),""))</f>
        <v/>
      </c>
      <c r="I38" s="43" t="str">
        <f aca="false">IF($E38="","",IF(AND(I$4&gt;=$E38,I$4&lt;=$F38),IF($D38="Milestone","D",1),""))</f>
        <v/>
      </c>
      <c r="J38" s="43" t="str">
        <f aca="false">IF($E38="","",IF(AND(J$4&gt;=$E38,J$4&lt;=$F38),IF($D38="Milestone","D",1),""))</f>
        <v/>
      </c>
      <c r="K38" s="43" t="str">
        <f aca="false">IF($E38="","",IF(AND(K$4&gt;=$E38,K$4&lt;=$F38),IF($D38="Milestone","D",1),""))</f>
        <v/>
      </c>
      <c r="L38" s="43" t="str">
        <f aca="false">IF($E38="","",IF(AND(L$4&gt;=$E38,L$4&lt;=$F38),IF($D38="Milestone","D",1),""))</f>
        <v/>
      </c>
      <c r="M38" s="43" t="str">
        <f aca="false">IF($E38="","",IF(AND(M$4&gt;=$E38,M$4&lt;=$F38),IF($D38="Milestone","D",1),""))</f>
        <v/>
      </c>
      <c r="N38" s="43" t="str">
        <f aca="false">IF($E38="","",IF(AND(N$4&gt;=$E38,N$4&lt;=$F38),IF($D38="Milestone","D",1),""))</f>
        <v/>
      </c>
      <c r="O38" s="43" t="str">
        <f aca="false">IF($E38="","",IF(AND(O$4&gt;=$E38,O$4&lt;=$F38),IF($D38="Milestone","D",1),""))</f>
        <v/>
      </c>
      <c r="P38" s="43" t="str">
        <f aca="false">IF($E38="","",IF(AND(P$4&gt;=$E38,P$4&lt;=$F38),IF($D38="Milestone","D",1),""))</f>
        <v/>
      </c>
      <c r="Q38" s="43" t="str">
        <f aca="false">IF($E38="","",IF(AND(Q$4&gt;=$E38,Q$4&lt;=$F38),IF($D38="Milestone","D",1),""))</f>
        <v/>
      </c>
      <c r="R38" s="43" t="n">
        <f aca="false">IF($E38="","",IF(AND(R$4&gt;=$E38,R$4&lt;=$F38),IF($D38="Milestone","D",1),""))</f>
        <v>1</v>
      </c>
      <c r="S38" s="43" t="n">
        <f aca="false">IF($E38="","",IF(AND(S$4&gt;=$E38,S$4&lt;=$F38),IF($D38="Milestone","D",1),""))</f>
        <v>1</v>
      </c>
      <c r="T38" s="43" t="str">
        <f aca="false">IF($E38="","",IF(AND(T$4&gt;=$E38,T$4&lt;=$F38),IF($D38="Milestone","D",1),""))</f>
        <v/>
      </c>
      <c r="U38" s="43" t="str">
        <f aca="false">IF($E38="","",IF(AND(U$4&gt;=$E38,U$4&lt;=$F38),IF($D38="Milestone","D",1),""))</f>
        <v/>
      </c>
      <c r="V38" s="43" t="str">
        <f aca="false">IF($E38="","",IF(AND(V$4&gt;=$E38,V$4&lt;=$F38),IF($D38="Milestone","D",1),""))</f>
        <v/>
      </c>
      <c r="W38" s="43" t="str">
        <f aca="false">IF($E38="","",IF(AND(W$4&gt;=$E38,W$4&lt;=$F38),IF($D38="Milestone","D",1),""))</f>
        <v/>
      </c>
      <c r="X38" s="43" t="str">
        <f aca="false">IF($E38="","",IF(AND(X$4&gt;=$E38,X$4&lt;=$F38),IF($D38="Milestone","D",1),""))</f>
        <v/>
      </c>
      <c r="Y38" s="43" t="str">
        <f aca="false">IF($E38="","",IF(AND(Y$4&gt;=$E38,Y$4&lt;=$F38),IF($D38="Milestone","D",1),""))</f>
        <v/>
      </c>
      <c r="Z38" s="43" t="str">
        <f aca="false">IF($E38="","",IF(AND(Z$4&gt;=$E38,Z$4&lt;=$F38),IF($D38="Milestone","D",1),""))</f>
        <v/>
      </c>
      <c r="AA38" s="43" t="str">
        <f aca="false">IF($E38="","",IF(AND(AA$4&gt;=$E38,AA$4&lt;=$F38),IF($D38="Milestone","D",1),""))</f>
        <v/>
      </c>
      <c r="AB38" s="43" t="str">
        <f aca="false">IF($E38="","",IF(AND(AB$4&gt;=$E38,AB$4&lt;=$F38),IF($D38="Milestone","D",1),""))</f>
        <v/>
      </c>
      <c r="AC38" s="43" t="str">
        <f aca="false">IF($E38="","",IF(AND(AC$4&gt;=$E38,AC$4&lt;=$F38),IF($D38="Milestone","D",1),""))</f>
        <v/>
      </c>
      <c r="AD38" s="43" t="str">
        <f aca="false">IF($E38="","",IF(AND(AD$4&gt;=$E38,AD$4&lt;=$F38),IF($D38="Milestone","D",1),""))</f>
        <v/>
      </c>
      <c r="AE38" s="43" t="str">
        <f aca="false">IF($E38="","",IF(AND(AE$4&gt;=$E38,AE$4&lt;=$F38),IF($D38="Milestone","D",1),""))</f>
        <v/>
      </c>
      <c r="AF38" s="43" t="str">
        <f aca="false">IF($E38="","",IF(AND(AF$4&gt;=$E38,AF$4&lt;=$F38),IF($D38="Milestone","D",1),""))</f>
        <v/>
      </c>
      <c r="AG38" s="43" t="str">
        <f aca="false">IF($E38="","",IF(AND(AG$4&gt;=$E38,AG$4&lt;=$F38),IF($D38="Milestone","D",1),""))</f>
        <v/>
      </c>
      <c r="AH38" s="43" t="str">
        <f aca="false">IF($E38="","",IF(AND(AH$4&gt;=$E38,AH$4&lt;=$F38),IF($D38="Milestone","D",1),""))</f>
        <v/>
      </c>
    </row>
    <row r="39" customFormat="false" ht="15" hidden="false" customHeight="false" outlineLevel="0" collapsed="false">
      <c r="A39" s="40" t="str">
        <f aca="false">WBS!A36</f>
        <v>CT-13</v>
      </c>
      <c r="B39" s="41" t="str">
        <f aca="false">WBS!B36</f>
        <v>LQR edge (sim)</v>
      </c>
      <c r="C39" s="40" t="str">
        <f aca="false">WBS!E36</f>
        <v>Andrea</v>
      </c>
      <c r="D39" s="40" t="str">
        <f aca="false">WBS!D36</f>
        <v>Control &amp; Software</v>
      </c>
      <c r="E39" s="42" t="n">
        <f aca="false">WBS!L36</f>
        <v>46239</v>
      </c>
      <c r="F39" s="42" t="n">
        <f aca="false">WBS!M36</f>
        <v>46239</v>
      </c>
      <c r="G39" s="43" t="str">
        <f aca="false">IF($E39="","",IF(AND(G$4&gt;=$E39,G$4&lt;=$F39),IF($D39="Milestone","D",1),""))</f>
        <v/>
      </c>
      <c r="H39" s="43" t="str">
        <f aca="false">IF($E39="","",IF(AND(H$4&gt;=$E39,H$4&lt;=$F39),IF($D39="Milestone","D",1),""))</f>
        <v/>
      </c>
      <c r="I39" s="43" t="str">
        <f aca="false">IF($E39="","",IF(AND(I$4&gt;=$E39,I$4&lt;=$F39),IF($D39="Milestone","D",1),""))</f>
        <v/>
      </c>
      <c r="J39" s="43" t="str">
        <f aca="false">IF($E39="","",IF(AND(J$4&gt;=$E39,J$4&lt;=$F39),IF($D39="Milestone","D",1),""))</f>
        <v/>
      </c>
      <c r="K39" s="43" t="str">
        <f aca="false">IF($E39="","",IF(AND(K$4&gt;=$E39,K$4&lt;=$F39),IF($D39="Milestone","D",1),""))</f>
        <v/>
      </c>
      <c r="L39" s="43" t="str">
        <f aca="false">IF($E39="","",IF(AND(L$4&gt;=$E39,L$4&lt;=$F39),IF($D39="Milestone","D",1),""))</f>
        <v/>
      </c>
      <c r="M39" s="43" t="str">
        <f aca="false">IF($E39="","",IF(AND(M$4&gt;=$E39,M$4&lt;=$F39),IF($D39="Milestone","D",1),""))</f>
        <v/>
      </c>
      <c r="N39" s="43" t="str">
        <f aca="false">IF($E39="","",IF(AND(N$4&gt;=$E39,N$4&lt;=$F39),IF($D39="Milestone","D",1),""))</f>
        <v/>
      </c>
      <c r="O39" s="43" t="str">
        <f aca="false">IF($E39="","",IF(AND(O$4&gt;=$E39,O$4&lt;=$F39),IF($D39="Milestone","D",1),""))</f>
        <v/>
      </c>
      <c r="P39" s="43" t="str">
        <f aca="false">IF($E39="","",IF(AND(P$4&gt;=$E39,P$4&lt;=$F39),IF($D39="Milestone","D",1),""))</f>
        <v/>
      </c>
      <c r="Q39" s="43" t="str">
        <f aca="false">IF($E39="","",IF(AND(Q$4&gt;=$E39,Q$4&lt;=$F39),IF($D39="Milestone","D",1),""))</f>
        <v/>
      </c>
      <c r="R39" s="43" t="str">
        <f aca="false">IF($E39="","",IF(AND(R$4&gt;=$E39,R$4&lt;=$F39),IF($D39="Milestone","D",1),""))</f>
        <v/>
      </c>
      <c r="S39" s="43" t="str">
        <f aca="false">IF($E39="","",IF(AND(S$4&gt;=$E39,S$4&lt;=$F39),IF($D39="Milestone","D",1),""))</f>
        <v/>
      </c>
      <c r="T39" s="43" t="n">
        <f aca="false">IF($E39="","",IF(AND(T$4&gt;=$E39,T$4&lt;=$F39),IF($D39="Milestone","D",1),""))</f>
        <v>1</v>
      </c>
      <c r="U39" s="43" t="str">
        <f aca="false">IF($E39="","",IF(AND(U$4&gt;=$E39,U$4&lt;=$F39),IF($D39="Milestone","D",1),""))</f>
        <v/>
      </c>
      <c r="V39" s="43" t="str">
        <f aca="false">IF($E39="","",IF(AND(V$4&gt;=$E39,V$4&lt;=$F39),IF($D39="Milestone","D",1),""))</f>
        <v/>
      </c>
      <c r="W39" s="43" t="str">
        <f aca="false">IF($E39="","",IF(AND(W$4&gt;=$E39,W$4&lt;=$F39),IF($D39="Milestone","D",1),""))</f>
        <v/>
      </c>
      <c r="X39" s="43" t="str">
        <f aca="false">IF($E39="","",IF(AND(X$4&gt;=$E39,X$4&lt;=$F39),IF($D39="Milestone","D",1),""))</f>
        <v/>
      </c>
      <c r="Y39" s="43" t="str">
        <f aca="false">IF($E39="","",IF(AND(Y$4&gt;=$E39,Y$4&lt;=$F39),IF($D39="Milestone","D",1),""))</f>
        <v/>
      </c>
      <c r="Z39" s="43" t="str">
        <f aca="false">IF($E39="","",IF(AND(Z$4&gt;=$E39,Z$4&lt;=$F39),IF($D39="Milestone","D",1),""))</f>
        <v/>
      </c>
      <c r="AA39" s="43" t="str">
        <f aca="false">IF($E39="","",IF(AND(AA$4&gt;=$E39,AA$4&lt;=$F39),IF($D39="Milestone","D",1),""))</f>
        <v/>
      </c>
      <c r="AB39" s="43" t="str">
        <f aca="false">IF($E39="","",IF(AND(AB$4&gt;=$E39,AB$4&lt;=$F39),IF($D39="Milestone","D",1),""))</f>
        <v/>
      </c>
      <c r="AC39" s="43" t="str">
        <f aca="false">IF($E39="","",IF(AND(AC$4&gt;=$E39,AC$4&lt;=$F39),IF($D39="Milestone","D",1),""))</f>
        <v/>
      </c>
      <c r="AD39" s="43" t="str">
        <f aca="false">IF($E39="","",IF(AND(AD$4&gt;=$E39,AD$4&lt;=$F39),IF($D39="Milestone","D",1),""))</f>
        <v/>
      </c>
      <c r="AE39" s="43" t="str">
        <f aca="false">IF($E39="","",IF(AND(AE$4&gt;=$E39,AE$4&lt;=$F39),IF($D39="Milestone","D",1),""))</f>
        <v/>
      </c>
      <c r="AF39" s="43" t="str">
        <f aca="false">IF($E39="","",IF(AND(AF$4&gt;=$E39,AF$4&lt;=$F39),IF($D39="Milestone","D",1),""))</f>
        <v/>
      </c>
      <c r="AG39" s="43" t="str">
        <f aca="false">IF($E39="","",IF(AND(AG$4&gt;=$E39,AG$4&lt;=$F39),IF($D39="Milestone","D",1),""))</f>
        <v/>
      </c>
      <c r="AH39" s="43" t="str">
        <f aca="false">IF($E39="","",IF(AND(AH$4&gt;=$E39,AH$4&lt;=$F39),IF($D39="Milestone","D",1),""))</f>
        <v/>
      </c>
    </row>
    <row r="40" customFormat="false" ht="15" hidden="false" customHeight="false" outlineLevel="0" collapsed="false">
      <c r="A40" s="40" t="str">
        <f aca="false">WBS!A37</f>
        <v>CT-14</v>
      </c>
      <c r="B40" s="41" t="str">
        <f aca="false">WBS!B37</f>
        <v>LQR corner (sim)</v>
      </c>
      <c r="C40" s="40" t="str">
        <f aca="false">WBS!E37</f>
        <v>Andrea</v>
      </c>
      <c r="D40" s="40" t="str">
        <f aca="false">WBS!D37</f>
        <v>Control &amp; Software</v>
      </c>
      <c r="E40" s="42" t="n">
        <f aca="false">WBS!L37</f>
        <v>46239</v>
      </c>
      <c r="F40" s="42" t="n">
        <f aca="false">WBS!M37</f>
        <v>46240</v>
      </c>
      <c r="G40" s="43" t="str">
        <f aca="false">IF($E40="","",IF(AND(G$4&gt;=$E40,G$4&lt;=$F40),IF($D40="Milestone","D",1),""))</f>
        <v/>
      </c>
      <c r="H40" s="43" t="str">
        <f aca="false">IF($E40="","",IF(AND(H$4&gt;=$E40,H$4&lt;=$F40),IF($D40="Milestone","D",1),""))</f>
        <v/>
      </c>
      <c r="I40" s="43" t="str">
        <f aca="false">IF($E40="","",IF(AND(I$4&gt;=$E40,I$4&lt;=$F40),IF($D40="Milestone","D",1),""))</f>
        <v/>
      </c>
      <c r="J40" s="43" t="str">
        <f aca="false">IF($E40="","",IF(AND(J$4&gt;=$E40,J$4&lt;=$F40),IF($D40="Milestone","D",1),""))</f>
        <v/>
      </c>
      <c r="K40" s="43" t="str">
        <f aca="false">IF($E40="","",IF(AND(K$4&gt;=$E40,K$4&lt;=$F40),IF($D40="Milestone","D",1),""))</f>
        <v/>
      </c>
      <c r="L40" s="43" t="str">
        <f aca="false">IF($E40="","",IF(AND(L$4&gt;=$E40,L$4&lt;=$F40),IF($D40="Milestone","D",1),""))</f>
        <v/>
      </c>
      <c r="M40" s="43" t="str">
        <f aca="false">IF($E40="","",IF(AND(M$4&gt;=$E40,M$4&lt;=$F40),IF($D40="Milestone","D",1),""))</f>
        <v/>
      </c>
      <c r="N40" s="43" t="str">
        <f aca="false">IF($E40="","",IF(AND(N$4&gt;=$E40,N$4&lt;=$F40),IF($D40="Milestone","D",1),""))</f>
        <v/>
      </c>
      <c r="O40" s="43" t="str">
        <f aca="false">IF($E40="","",IF(AND(O$4&gt;=$E40,O$4&lt;=$F40),IF($D40="Milestone","D",1),""))</f>
        <v/>
      </c>
      <c r="P40" s="43" t="str">
        <f aca="false">IF($E40="","",IF(AND(P$4&gt;=$E40,P$4&lt;=$F40),IF($D40="Milestone","D",1),""))</f>
        <v/>
      </c>
      <c r="Q40" s="43" t="str">
        <f aca="false">IF($E40="","",IF(AND(Q$4&gt;=$E40,Q$4&lt;=$F40),IF($D40="Milestone","D",1),""))</f>
        <v/>
      </c>
      <c r="R40" s="43" t="str">
        <f aca="false">IF($E40="","",IF(AND(R$4&gt;=$E40,R$4&lt;=$F40),IF($D40="Milestone","D",1),""))</f>
        <v/>
      </c>
      <c r="S40" s="43" t="str">
        <f aca="false">IF($E40="","",IF(AND(S$4&gt;=$E40,S$4&lt;=$F40),IF($D40="Milestone","D",1),""))</f>
        <v/>
      </c>
      <c r="T40" s="43" t="n">
        <f aca="false">IF($E40="","",IF(AND(T$4&gt;=$E40,T$4&lt;=$F40),IF($D40="Milestone","D",1),""))</f>
        <v>1</v>
      </c>
      <c r="U40" s="43" t="n">
        <f aca="false">IF($E40="","",IF(AND(U$4&gt;=$E40,U$4&lt;=$F40),IF($D40="Milestone","D",1),""))</f>
        <v>1</v>
      </c>
      <c r="V40" s="43" t="str">
        <f aca="false">IF($E40="","",IF(AND(V$4&gt;=$E40,V$4&lt;=$F40),IF($D40="Milestone","D",1),""))</f>
        <v/>
      </c>
      <c r="W40" s="43" t="str">
        <f aca="false">IF($E40="","",IF(AND(W$4&gt;=$E40,W$4&lt;=$F40),IF($D40="Milestone","D",1),""))</f>
        <v/>
      </c>
      <c r="X40" s="43" t="str">
        <f aca="false">IF($E40="","",IF(AND(X$4&gt;=$E40,X$4&lt;=$F40),IF($D40="Milestone","D",1),""))</f>
        <v/>
      </c>
      <c r="Y40" s="43" t="str">
        <f aca="false">IF($E40="","",IF(AND(Y$4&gt;=$E40,Y$4&lt;=$F40),IF($D40="Milestone","D",1),""))</f>
        <v/>
      </c>
      <c r="Z40" s="43" t="str">
        <f aca="false">IF($E40="","",IF(AND(Z$4&gt;=$E40,Z$4&lt;=$F40),IF($D40="Milestone","D",1),""))</f>
        <v/>
      </c>
      <c r="AA40" s="43" t="str">
        <f aca="false">IF($E40="","",IF(AND(AA$4&gt;=$E40,AA$4&lt;=$F40),IF($D40="Milestone","D",1),""))</f>
        <v/>
      </c>
      <c r="AB40" s="43" t="str">
        <f aca="false">IF($E40="","",IF(AND(AB$4&gt;=$E40,AB$4&lt;=$F40),IF($D40="Milestone","D",1),""))</f>
        <v/>
      </c>
      <c r="AC40" s="43" t="str">
        <f aca="false">IF($E40="","",IF(AND(AC$4&gt;=$E40,AC$4&lt;=$F40),IF($D40="Milestone","D",1),""))</f>
        <v/>
      </c>
      <c r="AD40" s="43" t="str">
        <f aca="false">IF($E40="","",IF(AND(AD$4&gt;=$E40,AD$4&lt;=$F40),IF($D40="Milestone","D",1),""))</f>
        <v/>
      </c>
      <c r="AE40" s="43" t="str">
        <f aca="false">IF($E40="","",IF(AND(AE$4&gt;=$E40,AE$4&lt;=$F40),IF($D40="Milestone","D",1),""))</f>
        <v/>
      </c>
      <c r="AF40" s="43" t="str">
        <f aca="false">IF($E40="","",IF(AND(AF$4&gt;=$E40,AF$4&lt;=$F40),IF($D40="Milestone","D",1),""))</f>
        <v/>
      </c>
      <c r="AG40" s="43" t="str">
        <f aca="false">IF($E40="","",IF(AND(AG$4&gt;=$E40,AG$4&lt;=$F40),IF($D40="Milestone","D",1),""))</f>
        <v/>
      </c>
      <c r="AH40" s="43" t="str">
        <f aca="false">IF($E40="","",IF(AND(AH$4&gt;=$E40,AH$4&lt;=$F40),IF($D40="Milestone","D",1),""))</f>
        <v/>
      </c>
    </row>
    <row r="41" customFormat="false" ht="15" hidden="false" customHeight="false" outlineLevel="0" collapsed="false">
      <c r="A41" s="40" t="str">
        <f aca="false">WBS!A38</f>
        <v>CT-15</v>
      </c>
      <c r="B41" s="41" t="str">
        <f aca="false">WBS!B38</f>
        <v>EKF / MEKF estimator</v>
      </c>
      <c r="C41" s="40" t="str">
        <f aca="false">WBS!E38</f>
        <v>Nicc</v>
      </c>
      <c r="D41" s="40" t="str">
        <f aca="false">WBS!D38</f>
        <v>Control &amp; Software</v>
      </c>
      <c r="E41" s="42" t="n">
        <f aca="false">WBS!L38</f>
        <v>46240</v>
      </c>
      <c r="F41" s="42" t="n">
        <f aca="false">WBS!M38</f>
        <v>46242</v>
      </c>
      <c r="G41" s="43" t="str">
        <f aca="false">IF($E41="","",IF(AND(G$4&gt;=$E41,G$4&lt;=$F41),IF($D41="Milestone","D",1),""))</f>
        <v/>
      </c>
      <c r="H41" s="43" t="str">
        <f aca="false">IF($E41="","",IF(AND(H$4&gt;=$E41,H$4&lt;=$F41),IF($D41="Milestone","D",1),""))</f>
        <v/>
      </c>
      <c r="I41" s="43" t="str">
        <f aca="false">IF($E41="","",IF(AND(I$4&gt;=$E41,I$4&lt;=$F41),IF($D41="Milestone","D",1),""))</f>
        <v/>
      </c>
      <c r="J41" s="43" t="str">
        <f aca="false">IF($E41="","",IF(AND(J$4&gt;=$E41,J$4&lt;=$F41),IF($D41="Milestone","D",1),""))</f>
        <v/>
      </c>
      <c r="K41" s="43" t="str">
        <f aca="false">IF($E41="","",IF(AND(K$4&gt;=$E41,K$4&lt;=$F41),IF($D41="Milestone","D",1),""))</f>
        <v/>
      </c>
      <c r="L41" s="43" t="str">
        <f aca="false">IF($E41="","",IF(AND(L$4&gt;=$E41,L$4&lt;=$F41),IF($D41="Milestone","D",1),""))</f>
        <v/>
      </c>
      <c r="M41" s="43" t="str">
        <f aca="false">IF($E41="","",IF(AND(M$4&gt;=$E41,M$4&lt;=$F41),IF($D41="Milestone","D",1),""))</f>
        <v/>
      </c>
      <c r="N41" s="43" t="str">
        <f aca="false">IF($E41="","",IF(AND(N$4&gt;=$E41,N$4&lt;=$F41),IF($D41="Milestone","D",1),""))</f>
        <v/>
      </c>
      <c r="O41" s="43" t="str">
        <f aca="false">IF($E41="","",IF(AND(O$4&gt;=$E41,O$4&lt;=$F41),IF($D41="Milestone","D",1),""))</f>
        <v/>
      </c>
      <c r="P41" s="43" t="str">
        <f aca="false">IF($E41="","",IF(AND(P$4&gt;=$E41,P$4&lt;=$F41),IF($D41="Milestone","D",1),""))</f>
        <v/>
      </c>
      <c r="Q41" s="43" t="str">
        <f aca="false">IF($E41="","",IF(AND(Q$4&gt;=$E41,Q$4&lt;=$F41),IF($D41="Milestone","D",1),""))</f>
        <v/>
      </c>
      <c r="R41" s="43" t="str">
        <f aca="false">IF($E41="","",IF(AND(R$4&gt;=$E41,R$4&lt;=$F41),IF($D41="Milestone","D",1),""))</f>
        <v/>
      </c>
      <c r="S41" s="43" t="str">
        <f aca="false">IF($E41="","",IF(AND(S$4&gt;=$E41,S$4&lt;=$F41),IF($D41="Milestone","D",1),""))</f>
        <v/>
      </c>
      <c r="T41" s="43" t="str">
        <f aca="false">IF($E41="","",IF(AND(T$4&gt;=$E41,T$4&lt;=$F41),IF($D41="Milestone","D",1),""))</f>
        <v/>
      </c>
      <c r="U41" s="43" t="n">
        <f aca="false">IF($E41="","",IF(AND(U$4&gt;=$E41,U$4&lt;=$F41),IF($D41="Milestone","D",1),""))</f>
        <v>1</v>
      </c>
      <c r="V41" s="43" t="n">
        <f aca="false">IF($E41="","",IF(AND(V$4&gt;=$E41,V$4&lt;=$F41),IF($D41="Milestone","D",1),""))</f>
        <v>1</v>
      </c>
      <c r="W41" s="43" t="n">
        <f aca="false">IF($E41="","",IF(AND(W$4&gt;=$E41,W$4&lt;=$F41),IF($D41="Milestone","D",1),""))</f>
        <v>1</v>
      </c>
      <c r="X41" s="43" t="str">
        <f aca="false">IF($E41="","",IF(AND(X$4&gt;=$E41,X$4&lt;=$F41),IF($D41="Milestone","D",1),""))</f>
        <v/>
      </c>
      <c r="Y41" s="43" t="str">
        <f aca="false">IF($E41="","",IF(AND(Y$4&gt;=$E41,Y$4&lt;=$F41),IF($D41="Milestone","D",1),""))</f>
        <v/>
      </c>
      <c r="Z41" s="43" t="str">
        <f aca="false">IF($E41="","",IF(AND(Z$4&gt;=$E41,Z$4&lt;=$F41),IF($D41="Milestone","D",1),""))</f>
        <v/>
      </c>
      <c r="AA41" s="43" t="str">
        <f aca="false">IF($E41="","",IF(AND(AA$4&gt;=$E41,AA$4&lt;=$F41),IF($D41="Milestone","D",1),""))</f>
        <v/>
      </c>
      <c r="AB41" s="43" t="str">
        <f aca="false">IF($E41="","",IF(AND(AB$4&gt;=$E41,AB$4&lt;=$F41),IF($D41="Milestone","D",1),""))</f>
        <v/>
      </c>
      <c r="AC41" s="43" t="str">
        <f aca="false">IF($E41="","",IF(AND(AC$4&gt;=$E41,AC$4&lt;=$F41),IF($D41="Milestone","D",1),""))</f>
        <v/>
      </c>
      <c r="AD41" s="43" t="str">
        <f aca="false">IF($E41="","",IF(AND(AD$4&gt;=$E41,AD$4&lt;=$F41),IF($D41="Milestone","D",1),""))</f>
        <v/>
      </c>
      <c r="AE41" s="43" t="str">
        <f aca="false">IF($E41="","",IF(AND(AE$4&gt;=$E41,AE$4&lt;=$F41),IF($D41="Milestone","D",1),""))</f>
        <v/>
      </c>
      <c r="AF41" s="43" t="str">
        <f aca="false">IF($E41="","",IF(AND(AF$4&gt;=$E41,AF$4&lt;=$F41),IF($D41="Milestone","D",1),""))</f>
        <v/>
      </c>
      <c r="AG41" s="43" t="str">
        <f aca="false">IF($E41="","",IF(AND(AG$4&gt;=$E41,AG$4&lt;=$F41),IF($D41="Milestone","D",1),""))</f>
        <v/>
      </c>
      <c r="AH41" s="43" t="str">
        <f aca="false">IF($E41="","",IF(AND(AH$4&gt;=$E41,AH$4&lt;=$F41),IF($D41="Milestone","D",1),""))</f>
        <v/>
      </c>
    </row>
    <row r="42" customFormat="false" ht="15" hidden="false" customHeight="false" outlineLevel="0" collapsed="false">
      <c r="A42" s="40" t="str">
        <f aca="false">WBS!A39</f>
        <v>CT-16</v>
      </c>
      <c r="B42" s="41" t="str">
        <f aca="false">WBS!B39</f>
        <v>Momentum management</v>
      </c>
      <c r="C42" s="40" t="str">
        <f aca="false">WBS!E39</f>
        <v>Andrea</v>
      </c>
      <c r="D42" s="40" t="str">
        <f aca="false">WBS!D39</f>
        <v>Control &amp; Software</v>
      </c>
      <c r="E42" s="42" t="n">
        <f aca="false">WBS!L39</f>
        <v>46244</v>
      </c>
      <c r="F42" s="42" t="n">
        <f aca="false">WBS!M39</f>
        <v>46244</v>
      </c>
      <c r="G42" s="43" t="str">
        <f aca="false">IF($E42="","",IF(AND(G$4&gt;=$E42,G$4&lt;=$F42),IF($D42="Milestone","D",1),""))</f>
        <v/>
      </c>
      <c r="H42" s="43" t="str">
        <f aca="false">IF($E42="","",IF(AND(H$4&gt;=$E42,H$4&lt;=$F42),IF($D42="Milestone","D",1),""))</f>
        <v/>
      </c>
      <c r="I42" s="43" t="str">
        <f aca="false">IF($E42="","",IF(AND(I$4&gt;=$E42,I$4&lt;=$F42),IF($D42="Milestone","D",1),""))</f>
        <v/>
      </c>
      <c r="J42" s="43" t="str">
        <f aca="false">IF($E42="","",IF(AND(J$4&gt;=$E42,J$4&lt;=$F42),IF($D42="Milestone","D",1),""))</f>
        <v/>
      </c>
      <c r="K42" s="43" t="str">
        <f aca="false">IF($E42="","",IF(AND(K$4&gt;=$E42,K$4&lt;=$F42),IF($D42="Milestone","D",1),""))</f>
        <v/>
      </c>
      <c r="L42" s="43" t="str">
        <f aca="false">IF($E42="","",IF(AND(L$4&gt;=$E42,L$4&lt;=$F42),IF($D42="Milestone","D",1),""))</f>
        <v/>
      </c>
      <c r="M42" s="43" t="str">
        <f aca="false">IF($E42="","",IF(AND(M$4&gt;=$E42,M$4&lt;=$F42),IF($D42="Milestone","D",1),""))</f>
        <v/>
      </c>
      <c r="N42" s="43" t="str">
        <f aca="false">IF($E42="","",IF(AND(N$4&gt;=$E42,N$4&lt;=$F42),IF($D42="Milestone","D",1),""))</f>
        <v/>
      </c>
      <c r="O42" s="43" t="str">
        <f aca="false">IF($E42="","",IF(AND(O$4&gt;=$E42,O$4&lt;=$F42),IF($D42="Milestone","D",1),""))</f>
        <v/>
      </c>
      <c r="P42" s="43" t="str">
        <f aca="false">IF($E42="","",IF(AND(P$4&gt;=$E42,P$4&lt;=$F42),IF($D42="Milestone","D",1),""))</f>
        <v/>
      </c>
      <c r="Q42" s="43" t="str">
        <f aca="false">IF($E42="","",IF(AND(Q$4&gt;=$E42,Q$4&lt;=$F42),IF($D42="Milestone","D",1),""))</f>
        <v/>
      </c>
      <c r="R42" s="43" t="str">
        <f aca="false">IF($E42="","",IF(AND(R$4&gt;=$E42,R$4&lt;=$F42),IF($D42="Milestone","D",1),""))</f>
        <v/>
      </c>
      <c r="S42" s="43" t="str">
        <f aca="false">IF($E42="","",IF(AND(S$4&gt;=$E42,S$4&lt;=$F42),IF($D42="Milestone","D",1),""))</f>
        <v/>
      </c>
      <c r="T42" s="43" t="str">
        <f aca="false">IF($E42="","",IF(AND(T$4&gt;=$E42,T$4&lt;=$F42),IF($D42="Milestone","D",1),""))</f>
        <v/>
      </c>
      <c r="U42" s="43" t="str">
        <f aca="false">IF($E42="","",IF(AND(U$4&gt;=$E42,U$4&lt;=$F42),IF($D42="Milestone","D",1),""))</f>
        <v/>
      </c>
      <c r="V42" s="43" t="str">
        <f aca="false">IF($E42="","",IF(AND(V$4&gt;=$E42,V$4&lt;=$F42),IF($D42="Milestone","D",1),""))</f>
        <v/>
      </c>
      <c r="W42" s="43" t="str">
        <f aca="false">IF($E42="","",IF(AND(W$4&gt;=$E42,W$4&lt;=$F42),IF($D42="Milestone","D",1),""))</f>
        <v/>
      </c>
      <c r="X42" s="43" t="str">
        <f aca="false">IF($E42="","",IF(AND(X$4&gt;=$E42,X$4&lt;=$F42),IF($D42="Milestone","D",1),""))</f>
        <v/>
      </c>
      <c r="Y42" s="43" t="n">
        <f aca="false">IF($E42="","",IF(AND(Y$4&gt;=$E42,Y$4&lt;=$F42),IF($D42="Milestone","D",1),""))</f>
        <v>1</v>
      </c>
      <c r="Z42" s="43" t="str">
        <f aca="false">IF($E42="","",IF(AND(Z$4&gt;=$E42,Z$4&lt;=$F42),IF($D42="Milestone","D",1),""))</f>
        <v/>
      </c>
      <c r="AA42" s="43" t="str">
        <f aca="false">IF($E42="","",IF(AND(AA$4&gt;=$E42,AA$4&lt;=$F42),IF($D42="Milestone","D",1),""))</f>
        <v/>
      </c>
      <c r="AB42" s="43" t="str">
        <f aca="false">IF($E42="","",IF(AND(AB$4&gt;=$E42,AB$4&lt;=$F42),IF($D42="Milestone","D",1),""))</f>
        <v/>
      </c>
      <c r="AC42" s="43" t="str">
        <f aca="false">IF($E42="","",IF(AND(AC$4&gt;=$E42,AC$4&lt;=$F42),IF($D42="Milestone","D",1),""))</f>
        <v/>
      </c>
      <c r="AD42" s="43" t="str">
        <f aca="false">IF($E42="","",IF(AND(AD$4&gt;=$E42,AD$4&lt;=$F42),IF($D42="Milestone","D",1),""))</f>
        <v/>
      </c>
      <c r="AE42" s="43" t="str">
        <f aca="false">IF($E42="","",IF(AND(AE$4&gt;=$E42,AE$4&lt;=$F42),IF($D42="Milestone","D",1),""))</f>
        <v/>
      </c>
      <c r="AF42" s="43" t="str">
        <f aca="false">IF($E42="","",IF(AND(AF$4&gt;=$E42,AF$4&lt;=$F42),IF($D42="Milestone","D",1),""))</f>
        <v/>
      </c>
      <c r="AG42" s="43" t="str">
        <f aca="false">IF($E42="","",IF(AND(AG$4&gt;=$E42,AG$4&lt;=$F42),IF($D42="Milestone","D",1),""))</f>
        <v/>
      </c>
      <c r="AH42" s="43" t="str">
        <f aca="false">IF($E42="","",IF(AND(AH$4&gt;=$E42,AH$4&lt;=$F42),IF($D42="Milestone","D",1),""))</f>
        <v/>
      </c>
    </row>
    <row r="43" customFormat="false" ht="15" hidden="false" customHeight="false" outlineLevel="0" collapsed="false">
      <c r="A43" s="40" t="str">
        <f aca="false">WBS!A40</f>
        <v>CT-17</v>
      </c>
      <c r="B43" s="41" t="str">
        <f aca="false">WBS!B40</f>
        <v>Mode state machine</v>
      </c>
      <c r="C43" s="40" t="str">
        <f aca="false">WBS!E40</f>
        <v>Nicc</v>
      </c>
      <c r="D43" s="40" t="str">
        <f aca="false">WBS!D40</f>
        <v>Control &amp; Software</v>
      </c>
      <c r="E43" s="42" t="n">
        <f aca="false">WBS!L40</f>
        <v>46241</v>
      </c>
      <c r="F43" s="42" t="n">
        <f aca="false">WBS!M40</f>
        <v>46241</v>
      </c>
      <c r="G43" s="43" t="str">
        <f aca="false">IF($E43="","",IF(AND(G$4&gt;=$E43,G$4&lt;=$F43),IF($D43="Milestone","D",1),""))</f>
        <v/>
      </c>
      <c r="H43" s="43" t="str">
        <f aca="false">IF($E43="","",IF(AND(H$4&gt;=$E43,H$4&lt;=$F43),IF($D43="Milestone","D",1),""))</f>
        <v/>
      </c>
      <c r="I43" s="43" t="str">
        <f aca="false">IF($E43="","",IF(AND(I$4&gt;=$E43,I$4&lt;=$F43),IF($D43="Milestone","D",1),""))</f>
        <v/>
      </c>
      <c r="J43" s="43" t="str">
        <f aca="false">IF($E43="","",IF(AND(J$4&gt;=$E43,J$4&lt;=$F43),IF($D43="Milestone","D",1),""))</f>
        <v/>
      </c>
      <c r="K43" s="43" t="str">
        <f aca="false">IF($E43="","",IF(AND(K$4&gt;=$E43,K$4&lt;=$F43),IF($D43="Milestone","D",1),""))</f>
        <v/>
      </c>
      <c r="L43" s="43" t="str">
        <f aca="false">IF($E43="","",IF(AND(L$4&gt;=$E43,L$4&lt;=$F43),IF($D43="Milestone","D",1),""))</f>
        <v/>
      </c>
      <c r="M43" s="43" t="str">
        <f aca="false">IF($E43="","",IF(AND(M$4&gt;=$E43,M$4&lt;=$F43),IF($D43="Milestone","D",1),""))</f>
        <v/>
      </c>
      <c r="N43" s="43" t="str">
        <f aca="false">IF($E43="","",IF(AND(N$4&gt;=$E43,N$4&lt;=$F43),IF($D43="Milestone","D",1),""))</f>
        <v/>
      </c>
      <c r="O43" s="43" t="str">
        <f aca="false">IF($E43="","",IF(AND(O$4&gt;=$E43,O$4&lt;=$F43),IF($D43="Milestone","D",1),""))</f>
        <v/>
      </c>
      <c r="P43" s="43" t="str">
        <f aca="false">IF($E43="","",IF(AND(P$4&gt;=$E43,P$4&lt;=$F43),IF($D43="Milestone","D",1),""))</f>
        <v/>
      </c>
      <c r="Q43" s="43" t="str">
        <f aca="false">IF($E43="","",IF(AND(Q$4&gt;=$E43,Q$4&lt;=$F43),IF($D43="Milestone","D",1),""))</f>
        <v/>
      </c>
      <c r="R43" s="43" t="str">
        <f aca="false">IF($E43="","",IF(AND(R$4&gt;=$E43,R$4&lt;=$F43),IF($D43="Milestone","D",1),""))</f>
        <v/>
      </c>
      <c r="S43" s="43" t="str">
        <f aca="false">IF($E43="","",IF(AND(S$4&gt;=$E43,S$4&lt;=$F43),IF($D43="Milestone","D",1),""))</f>
        <v/>
      </c>
      <c r="T43" s="43" t="str">
        <f aca="false">IF($E43="","",IF(AND(T$4&gt;=$E43,T$4&lt;=$F43),IF($D43="Milestone","D",1),""))</f>
        <v/>
      </c>
      <c r="U43" s="43" t="str">
        <f aca="false">IF($E43="","",IF(AND(U$4&gt;=$E43,U$4&lt;=$F43),IF($D43="Milestone","D",1),""))</f>
        <v/>
      </c>
      <c r="V43" s="43" t="n">
        <f aca="false">IF($E43="","",IF(AND(V$4&gt;=$E43,V$4&lt;=$F43),IF($D43="Milestone","D",1),""))</f>
        <v>1</v>
      </c>
      <c r="W43" s="43" t="str">
        <f aca="false">IF($E43="","",IF(AND(W$4&gt;=$E43,W$4&lt;=$F43),IF($D43="Milestone","D",1),""))</f>
        <v/>
      </c>
      <c r="X43" s="43" t="str">
        <f aca="false">IF($E43="","",IF(AND(X$4&gt;=$E43,X$4&lt;=$F43),IF($D43="Milestone","D",1),""))</f>
        <v/>
      </c>
      <c r="Y43" s="43" t="str">
        <f aca="false">IF($E43="","",IF(AND(Y$4&gt;=$E43,Y$4&lt;=$F43),IF($D43="Milestone","D",1),""))</f>
        <v/>
      </c>
      <c r="Z43" s="43" t="str">
        <f aca="false">IF($E43="","",IF(AND(Z$4&gt;=$E43,Z$4&lt;=$F43),IF($D43="Milestone","D",1),""))</f>
        <v/>
      </c>
      <c r="AA43" s="43" t="str">
        <f aca="false">IF($E43="","",IF(AND(AA$4&gt;=$E43,AA$4&lt;=$F43),IF($D43="Milestone","D",1),""))</f>
        <v/>
      </c>
      <c r="AB43" s="43" t="str">
        <f aca="false">IF($E43="","",IF(AND(AB$4&gt;=$E43,AB$4&lt;=$F43),IF($D43="Milestone","D",1),""))</f>
        <v/>
      </c>
      <c r="AC43" s="43" t="str">
        <f aca="false">IF($E43="","",IF(AND(AC$4&gt;=$E43,AC$4&lt;=$F43),IF($D43="Milestone","D",1),""))</f>
        <v/>
      </c>
      <c r="AD43" s="43" t="str">
        <f aca="false">IF($E43="","",IF(AND(AD$4&gt;=$E43,AD$4&lt;=$F43),IF($D43="Milestone","D",1),""))</f>
        <v/>
      </c>
      <c r="AE43" s="43" t="str">
        <f aca="false">IF($E43="","",IF(AND(AE$4&gt;=$E43,AE$4&lt;=$F43),IF($D43="Milestone","D",1),""))</f>
        <v/>
      </c>
      <c r="AF43" s="43" t="str">
        <f aca="false">IF($E43="","",IF(AND(AF$4&gt;=$E43,AF$4&lt;=$F43),IF($D43="Milestone","D",1),""))</f>
        <v/>
      </c>
      <c r="AG43" s="43" t="str">
        <f aca="false">IF($E43="","",IF(AND(AG$4&gt;=$E43,AG$4&lt;=$F43),IF($D43="Milestone","D",1),""))</f>
        <v/>
      </c>
      <c r="AH43" s="43" t="str">
        <f aca="false">IF($E43="","",IF(AND(AH$4&gt;=$E43,AH$4&lt;=$F43),IF($D43="Milestone","D",1),""))</f>
        <v/>
      </c>
    </row>
    <row r="44" customFormat="false" ht="15" hidden="false" customHeight="false" outlineLevel="0" collapsed="false">
      <c r="A44" s="40" t="str">
        <f aca="false">WBS!A41</f>
        <v>CT-18</v>
      </c>
      <c r="B44" s="41" t="str">
        <f aca="false">WBS!B41</f>
        <v>S2a - edge balance</v>
      </c>
      <c r="C44" s="40" t="str">
        <f aca="false">WBS!E41</f>
        <v>Andrea</v>
      </c>
      <c r="D44" s="40" t="str">
        <f aca="false">WBS!D41</f>
        <v>Control &amp; Software</v>
      </c>
      <c r="E44" s="42" t="n">
        <f aca="false">WBS!L41</f>
        <v>46244</v>
      </c>
      <c r="F44" s="42" t="n">
        <f aca="false">WBS!M41</f>
        <v>46247</v>
      </c>
      <c r="G44" s="43" t="str">
        <f aca="false">IF($E44="","",IF(AND(G$4&gt;=$E44,G$4&lt;=$F44),IF($D44="Milestone","D",1),""))</f>
        <v/>
      </c>
      <c r="H44" s="43" t="str">
        <f aca="false">IF($E44="","",IF(AND(H$4&gt;=$E44,H$4&lt;=$F44),IF($D44="Milestone","D",1),""))</f>
        <v/>
      </c>
      <c r="I44" s="43" t="str">
        <f aca="false">IF($E44="","",IF(AND(I$4&gt;=$E44,I$4&lt;=$F44),IF($D44="Milestone","D",1),""))</f>
        <v/>
      </c>
      <c r="J44" s="43" t="str">
        <f aca="false">IF($E44="","",IF(AND(J$4&gt;=$E44,J$4&lt;=$F44),IF($D44="Milestone","D",1),""))</f>
        <v/>
      </c>
      <c r="K44" s="43" t="str">
        <f aca="false">IF($E44="","",IF(AND(K$4&gt;=$E44,K$4&lt;=$F44),IF($D44="Milestone","D",1),""))</f>
        <v/>
      </c>
      <c r="L44" s="43" t="str">
        <f aca="false">IF($E44="","",IF(AND(L$4&gt;=$E44,L$4&lt;=$F44),IF($D44="Milestone","D",1),""))</f>
        <v/>
      </c>
      <c r="M44" s="43" t="str">
        <f aca="false">IF($E44="","",IF(AND(M$4&gt;=$E44,M$4&lt;=$F44),IF($D44="Milestone","D",1),""))</f>
        <v/>
      </c>
      <c r="N44" s="43" t="str">
        <f aca="false">IF($E44="","",IF(AND(N$4&gt;=$E44,N$4&lt;=$F44),IF($D44="Milestone","D",1),""))</f>
        <v/>
      </c>
      <c r="O44" s="43" t="str">
        <f aca="false">IF($E44="","",IF(AND(O$4&gt;=$E44,O$4&lt;=$F44),IF($D44="Milestone","D",1),""))</f>
        <v/>
      </c>
      <c r="P44" s="43" t="str">
        <f aca="false">IF($E44="","",IF(AND(P$4&gt;=$E44,P$4&lt;=$F44),IF($D44="Milestone","D",1),""))</f>
        <v/>
      </c>
      <c r="Q44" s="43" t="str">
        <f aca="false">IF($E44="","",IF(AND(Q$4&gt;=$E44,Q$4&lt;=$F44),IF($D44="Milestone","D",1),""))</f>
        <v/>
      </c>
      <c r="R44" s="43" t="str">
        <f aca="false">IF($E44="","",IF(AND(R$4&gt;=$E44,R$4&lt;=$F44),IF($D44="Milestone","D",1),""))</f>
        <v/>
      </c>
      <c r="S44" s="43" t="str">
        <f aca="false">IF($E44="","",IF(AND(S$4&gt;=$E44,S$4&lt;=$F44),IF($D44="Milestone","D",1),""))</f>
        <v/>
      </c>
      <c r="T44" s="43" t="str">
        <f aca="false">IF($E44="","",IF(AND(T$4&gt;=$E44,T$4&lt;=$F44),IF($D44="Milestone","D",1),""))</f>
        <v/>
      </c>
      <c r="U44" s="43" t="str">
        <f aca="false">IF($E44="","",IF(AND(U$4&gt;=$E44,U$4&lt;=$F44),IF($D44="Milestone","D",1),""))</f>
        <v/>
      </c>
      <c r="V44" s="43" t="str">
        <f aca="false">IF($E44="","",IF(AND(V$4&gt;=$E44,V$4&lt;=$F44),IF($D44="Milestone","D",1),""))</f>
        <v/>
      </c>
      <c r="W44" s="43" t="str">
        <f aca="false">IF($E44="","",IF(AND(W$4&gt;=$E44,W$4&lt;=$F44),IF($D44="Milestone","D",1),""))</f>
        <v/>
      </c>
      <c r="X44" s="43" t="str">
        <f aca="false">IF($E44="","",IF(AND(X$4&gt;=$E44,X$4&lt;=$F44),IF($D44="Milestone","D",1),""))</f>
        <v/>
      </c>
      <c r="Y44" s="43" t="n">
        <f aca="false">IF($E44="","",IF(AND(Y$4&gt;=$E44,Y$4&lt;=$F44),IF($D44="Milestone","D",1),""))</f>
        <v>1</v>
      </c>
      <c r="Z44" s="43" t="n">
        <f aca="false">IF($E44="","",IF(AND(Z$4&gt;=$E44,Z$4&lt;=$F44),IF($D44="Milestone","D",1),""))</f>
        <v>1</v>
      </c>
      <c r="AA44" s="43" t="n">
        <f aca="false">IF($E44="","",IF(AND(AA$4&gt;=$E44,AA$4&lt;=$F44),IF($D44="Milestone","D",1),""))</f>
        <v>1</v>
      </c>
      <c r="AB44" s="43" t="n">
        <f aca="false">IF($E44="","",IF(AND(AB$4&gt;=$E44,AB$4&lt;=$F44),IF($D44="Milestone","D",1),""))</f>
        <v>1</v>
      </c>
      <c r="AC44" s="43" t="str">
        <f aca="false">IF($E44="","",IF(AND(AC$4&gt;=$E44,AC$4&lt;=$F44),IF($D44="Milestone","D",1),""))</f>
        <v/>
      </c>
      <c r="AD44" s="43" t="str">
        <f aca="false">IF($E44="","",IF(AND(AD$4&gt;=$E44,AD$4&lt;=$F44),IF($D44="Milestone","D",1),""))</f>
        <v/>
      </c>
      <c r="AE44" s="43" t="str">
        <f aca="false">IF($E44="","",IF(AND(AE$4&gt;=$E44,AE$4&lt;=$F44),IF($D44="Milestone","D",1),""))</f>
        <v/>
      </c>
      <c r="AF44" s="43" t="str">
        <f aca="false">IF($E44="","",IF(AND(AF$4&gt;=$E44,AF$4&lt;=$F44),IF($D44="Milestone","D",1),""))</f>
        <v/>
      </c>
      <c r="AG44" s="43" t="str">
        <f aca="false">IF($E44="","",IF(AND(AG$4&gt;=$E44,AG$4&lt;=$F44),IF($D44="Milestone","D",1),""))</f>
        <v/>
      </c>
      <c r="AH44" s="43" t="str">
        <f aca="false">IF($E44="","",IF(AND(AH$4&gt;=$E44,AH$4&lt;=$F44),IF($D44="Milestone","D",1),""))</f>
        <v/>
      </c>
    </row>
    <row r="45" customFormat="false" ht="15" hidden="false" customHeight="false" outlineLevel="0" collapsed="false">
      <c r="A45" s="40" t="str">
        <f aca="false">WBS!A42</f>
        <v>CT-19</v>
      </c>
      <c r="B45" s="41" t="str">
        <f aca="false">WBS!B42</f>
        <v>S2b - corner balance</v>
      </c>
      <c r="C45" s="40" t="str">
        <f aca="false">WBS!E42</f>
        <v>Andrea</v>
      </c>
      <c r="D45" s="40" t="str">
        <f aca="false">WBS!D42</f>
        <v>Control &amp; Software</v>
      </c>
      <c r="E45" s="42" t="n">
        <f aca="false">WBS!L42</f>
        <v>46248</v>
      </c>
      <c r="F45" s="42" t="n">
        <f aca="false">WBS!M42</f>
        <v>46250</v>
      </c>
      <c r="G45" s="43" t="str">
        <f aca="false">IF($E45="","",IF(AND(G$4&gt;=$E45,G$4&lt;=$F45),IF($D45="Milestone","D",1),""))</f>
        <v/>
      </c>
      <c r="H45" s="43" t="str">
        <f aca="false">IF($E45="","",IF(AND(H$4&gt;=$E45,H$4&lt;=$F45),IF($D45="Milestone","D",1),""))</f>
        <v/>
      </c>
      <c r="I45" s="43" t="str">
        <f aca="false">IF($E45="","",IF(AND(I$4&gt;=$E45,I$4&lt;=$F45),IF($D45="Milestone","D",1),""))</f>
        <v/>
      </c>
      <c r="J45" s="43" t="str">
        <f aca="false">IF($E45="","",IF(AND(J$4&gt;=$E45,J$4&lt;=$F45),IF($D45="Milestone","D",1),""))</f>
        <v/>
      </c>
      <c r="K45" s="43" t="str">
        <f aca="false">IF($E45="","",IF(AND(K$4&gt;=$E45,K$4&lt;=$F45),IF($D45="Milestone","D",1),""))</f>
        <v/>
      </c>
      <c r="L45" s="43" t="str">
        <f aca="false">IF($E45="","",IF(AND(L$4&gt;=$E45,L$4&lt;=$F45),IF($D45="Milestone","D",1),""))</f>
        <v/>
      </c>
      <c r="M45" s="43" t="str">
        <f aca="false">IF($E45="","",IF(AND(M$4&gt;=$E45,M$4&lt;=$F45),IF($D45="Milestone","D",1),""))</f>
        <v/>
      </c>
      <c r="N45" s="43" t="str">
        <f aca="false">IF($E45="","",IF(AND(N$4&gt;=$E45,N$4&lt;=$F45),IF($D45="Milestone","D",1),""))</f>
        <v/>
      </c>
      <c r="O45" s="43" t="str">
        <f aca="false">IF($E45="","",IF(AND(O$4&gt;=$E45,O$4&lt;=$F45),IF($D45="Milestone","D",1),""))</f>
        <v/>
      </c>
      <c r="P45" s="43" t="str">
        <f aca="false">IF($E45="","",IF(AND(P$4&gt;=$E45,P$4&lt;=$F45),IF($D45="Milestone","D",1),""))</f>
        <v/>
      </c>
      <c r="Q45" s="43" t="str">
        <f aca="false">IF($E45="","",IF(AND(Q$4&gt;=$E45,Q$4&lt;=$F45),IF($D45="Milestone","D",1),""))</f>
        <v/>
      </c>
      <c r="R45" s="43" t="str">
        <f aca="false">IF($E45="","",IF(AND(R$4&gt;=$E45,R$4&lt;=$F45),IF($D45="Milestone","D",1),""))</f>
        <v/>
      </c>
      <c r="S45" s="43" t="str">
        <f aca="false">IF($E45="","",IF(AND(S$4&gt;=$E45,S$4&lt;=$F45),IF($D45="Milestone","D",1),""))</f>
        <v/>
      </c>
      <c r="T45" s="43" t="str">
        <f aca="false">IF($E45="","",IF(AND(T$4&gt;=$E45,T$4&lt;=$F45),IF($D45="Milestone","D",1),""))</f>
        <v/>
      </c>
      <c r="U45" s="43" t="str">
        <f aca="false">IF($E45="","",IF(AND(U$4&gt;=$E45,U$4&lt;=$F45),IF($D45="Milestone","D",1),""))</f>
        <v/>
      </c>
      <c r="V45" s="43" t="str">
        <f aca="false">IF($E45="","",IF(AND(V$4&gt;=$E45,V$4&lt;=$F45),IF($D45="Milestone","D",1),""))</f>
        <v/>
      </c>
      <c r="W45" s="43" t="str">
        <f aca="false">IF($E45="","",IF(AND(W$4&gt;=$E45,W$4&lt;=$F45),IF($D45="Milestone","D",1),""))</f>
        <v/>
      </c>
      <c r="X45" s="43" t="str">
        <f aca="false">IF($E45="","",IF(AND(X$4&gt;=$E45,X$4&lt;=$F45),IF($D45="Milestone","D",1),""))</f>
        <v/>
      </c>
      <c r="Y45" s="43" t="str">
        <f aca="false">IF($E45="","",IF(AND(Y$4&gt;=$E45,Y$4&lt;=$F45),IF($D45="Milestone","D",1),""))</f>
        <v/>
      </c>
      <c r="Z45" s="43" t="str">
        <f aca="false">IF($E45="","",IF(AND(Z$4&gt;=$E45,Z$4&lt;=$F45),IF($D45="Milestone","D",1),""))</f>
        <v/>
      </c>
      <c r="AA45" s="43" t="str">
        <f aca="false">IF($E45="","",IF(AND(AA$4&gt;=$E45,AA$4&lt;=$F45),IF($D45="Milestone","D",1),""))</f>
        <v/>
      </c>
      <c r="AB45" s="43" t="str">
        <f aca="false">IF($E45="","",IF(AND(AB$4&gt;=$E45,AB$4&lt;=$F45),IF($D45="Milestone","D",1),""))</f>
        <v/>
      </c>
      <c r="AC45" s="43" t="n">
        <f aca="false">IF($E45="","",IF(AND(AC$4&gt;=$E45,AC$4&lt;=$F45),IF($D45="Milestone","D",1),""))</f>
        <v>1</v>
      </c>
      <c r="AD45" s="43" t="n">
        <f aca="false">IF($E45="","",IF(AND(AD$4&gt;=$E45,AD$4&lt;=$F45),IF($D45="Milestone","D",1),""))</f>
        <v>1</v>
      </c>
      <c r="AE45" s="43" t="n">
        <f aca="false">IF($E45="","",IF(AND(AE$4&gt;=$E45,AE$4&lt;=$F45),IF($D45="Milestone","D",1),""))</f>
        <v>1</v>
      </c>
      <c r="AF45" s="43" t="str">
        <f aca="false">IF($E45="","",IF(AND(AF$4&gt;=$E45,AF$4&lt;=$F45),IF($D45="Milestone","D",1),""))</f>
        <v/>
      </c>
      <c r="AG45" s="43" t="str">
        <f aca="false">IF($E45="","",IF(AND(AG$4&gt;=$E45,AG$4&lt;=$F45),IF($D45="Milestone","D",1),""))</f>
        <v/>
      </c>
      <c r="AH45" s="43" t="str">
        <f aca="false">IF($E45="","",IF(AND(AH$4&gt;=$E45,AH$4&lt;=$F45),IF($D45="Milestone","D",1),""))</f>
        <v/>
      </c>
    </row>
    <row r="46" customFormat="false" ht="15" hidden="false" customHeight="false" outlineLevel="0" collapsed="false">
      <c r="A46" s="40" t="str">
        <f aca="false">WBS!A43</f>
        <v>CT-20</v>
      </c>
      <c r="B46" s="41" t="str">
        <f aca="false">WBS!B43</f>
        <v>S2c - commanded slew</v>
      </c>
      <c r="C46" s="40" t="str">
        <f aca="false">WBS!E43</f>
        <v>Nicc</v>
      </c>
      <c r="D46" s="40" t="str">
        <f aca="false">WBS!D43</f>
        <v>Control &amp; Software</v>
      </c>
      <c r="E46" s="42" t="n">
        <f aca="false">WBS!L43</f>
        <v>46249</v>
      </c>
      <c r="F46" s="42" t="n">
        <f aca="false">WBS!M43</f>
        <v>46250</v>
      </c>
      <c r="G46" s="43" t="str">
        <f aca="false">IF($E46="","",IF(AND(G$4&gt;=$E46,G$4&lt;=$F46),IF($D46="Milestone","D",1),""))</f>
        <v/>
      </c>
      <c r="H46" s="43" t="str">
        <f aca="false">IF($E46="","",IF(AND(H$4&gt;=$E46,H$4&lt;=$F46),IF($D46="Milestone","D",1),""))</f>
        <v/>
      </c>
      <c r="I46" s="43" t="str">
        <f aca="false">IF($E46="","",IF(AND(I$4&gt;=$E46,I$4&lt;=$F46),IF($D46="Milestone","D",1),""))</f>
        <v/>
      </c>
      <c r="J46" s="43" t="str">
        <f aca="false">IF($E46="","",IF(AND(J$4&gt;=$E46,J$4&lt;=$F46),IF($D46="Milestone","D",1),""))</f>
        <v/>
      </c>
      <c r="K46" s="43" t="str">
        <f aca="false">IF($E46="","",IF(AND(K$4&gt;=$E46,K$4&lt;=$F46),IF($D46="Milestone","D",1),""))</f>
        <v/>
      </c>
      <c r="L46" s="43" t="str">
        <f aca="false">IF($E46="","",IF(AND(L$4&gt;=$E46,L$4&lt;=$F46),IF($D46="Milestone","D",1),""))</f>
        <v/>
      </c>
      <c r="M46" s="43" t="str">
        <f aca="false">IF($E46="","",IF(AND(M$4&gt;=$E46,M$4&lt;=$F46),IF($D46="Milestone","D",1),""))</f>
        <v/>
      </c>
      <c r="N46" s="43" t="str">
        <f aca="false">IF($E46="","",IF(AND(N$4&gt;=$E46,N$4&lt;=$F46),IF($D46="Milestone","D",1),""))</f>
        <v/>
      </c>
      <c r="O46" s="43" t="str">
        <f aca="false">IF($E46="","",IF(AND(O$4&gt;=$E46,O$4&lt;=$F46),IF($D46="Milestone","D",1),""))</f>
        <v/>
      </c>
      <c r="P46" s="43" t="str">
        <f aca="false">IF($E46="","",IF(AND(P$4&gt;=$E46,P$4&lt;=$F46),IF($D46="Milestone","D",1),""))</f>
        <v/>
      </c>
      <c r="Q46" s="43" t="str">
        <f aca="false">IF($E46="","",IF(AND(Q$4&gt;=$E46,Q$4&lt;=$F46),IF($D46="Milestone","D",1),""))</f>
        <v/>
      </c>
      <c r="R46" s="43" t="str">
        <f aca="false">IF($E46="","",IF(AND(R$4&gt;=$E46,R$4&lt;=$F46),IF($D46="Milestone","D",1),""))</f>
        <v/>
      </c>
      <c r="S46" s="43" t="str">
        <f aca="false">IF($E46="","",IF(AND(S$4&gt;=$E46,S$4&lt;=$F46),IF($D46="Milestone","D",1),""))</f>
        <v/>
      </c>
      <c r="T46" s="43" t="str">
        <f aca="false">IF($E46="","",IF(AND(T$4&gt;=$E46,T$4&lt;=$F46),IF($D46="Milestone","D",1),""))</f>
        <v/>
      </c>
      <c r="U46" s="43" t="str">
        <f aca="false">IF($E46="","",IF(AND(U$4&gt;=$E46,U$4&lt;=$F46),IF($D46="Milestone","D",1),""))</f>
        <v/>
      </c>
      <c r="V46" s="43" t="str">
        <f aca="false">IF($E46="","",IF(AND(V$4&gt;=$E46,V$4&lt;=$F46),IF($D46="Milestone","D",1),""))</f>
        <v/>
      </c>
      <c r="W46" s="43" t="str">
        <f aca="false">IF($E46="","",IF(AND(W$4&gt;=$E46,W$4&lt;=$F46),IF($D46="Milestone","D",1),""))</f>
        <v/>
      </c>
      <c r="X46" s="43" t="str">
        <f aca="false">IF($E46="","",IF(AND(X$4&gt;=$E46,X$4&lt;=$F46),IF($D46="Milestone","D",1),""))</f>
        <v/>
      </c>
      <c r="Y46" s="43" t="str">
        <f aca="false">IF($E46="","",IF(AND(Y$4&gt;=$E46,Y$4&lt;=$F46),IF($D46="Milestone","D",1),""))</f>
        <v/>
      </c>
      <c r="Z46" s="43" t="str">
        <f aca="false">IF($E46="","",IF(AND(Z$4&gt;=$E46,Z$4&lt;=$F46),IF($D46="Milestone","D",1),""))</f>
        <v/>
      </c>
      <c r="AA46" s="43" t="str">
        <f aca="false">IF($E46="","",IF(AND(AA$4&gt;=$E46,AA$4&lt;=$F46),IF($D46="Milestone","D",1),""))</f>
        <v/>
      </c>
      <c r="AB46" s="43" t="str">
        <f aca="false">IF($E46="","",IF(AND(AB$4&gt;=$E46,AB$4&lt;=$F46),IF($D46="Milestone","D",1),""))</f>
        <v/>
      </c>
      <c r="AC46" s="43" t="str">
        <f aca="false">IF($E46="","",IF(AND(AC$4&gt;=$E46,AC$4&lt;=$F46),IF($D46="Milestone","D",1),""))</f>
        <v/>
      </c>
      <c r="AD46" s="43" t="n">
        <f aca="false">IF($E46="","",IF(AND(AD$4&gt;=$E46,AD$4&lt;=$F46),IF($D46="Milestone","D",1),""))</f>
        <v>1</v>
      </c>
      <c r="AE46" s="43" t="n">
        <f aca="false">IF($E46="","",IF(AND(AE$4&gt;=$E46,AE$4&lt;=$F46),IF($D46="Milestone","D",1),""))</f>
        <v>1</v>
      </c>
      <c r="AF46" s="43" t="str">
        <f aca="false">IF($E46="","",IF(AND(AF$4&gt;=$E46,AF$4&lt;=$F46),IF($D46="Milestone","D",1),""))</f>
        <v/>
      </c>
      <c r="AG46" s="43" t="str">
        <f aca="false">IF($E46="","",IF(AND(AG$4&gt;=$E46,AG$4&lt;=$F46),IF($D46="Milestone","D",1),""))</f>
        <v/>
      </c>
      <c r="AH46" s="43" t="str">
        <f aca="false">IF($E46="","",IF(AND(AH$4&gt;=$E46,AH$4&lt;=$F46),IF($D46="Milestone","D",1),""))</f>
        <v/>
      </c>
    </row>
    <row r="47" customFormat="false" ht="15" hidden="false" customHeight="false" outlineLevel="0" collapsed="false">
      <c r="A47" s="40" t="str">
        <f aca="false">WBS!A44</f>
        <v>CT-21</v>
      </c>
      <c r="B47" s="41" t="str">
        <f aca="false">WBS!B44</f>
        <v>S3a - jump-up</v>
      </c>
      <c r="C47" s="40" t="str">
        <f aca="false">WBS!E44</f>
        <v>Nicc</v>
      </c>
      <c r="D47" s="40" t="str">
        <f aca="false">WBS!D44</f>
        <v>Control &amp; Software</v>
      </c>
      <c r="E47" s="42" t="n">
        <f aca="false">WBS!L44</f>
        <v>46251</v>
      </c>
      <c r="F47" s="42" t="n">
        <f aca="false">WBS!M44</f>
        <v>46252</v>
      </c>
      <c r="G47" s="43" t="str">
        <f aca="false">IF($E47="","",IF(AND(G$4&gt;=$E47,G$4&lt;=$F47),IF($D47="Milestone","D",1),""))</f>
        <v/>
      </c>
      <c r="H47" s="43" t="str">
        <f aca="false">IF($E47="","",IF(AND(H$4&gt;=$E47,H$4&lt;=$F47),IF($D47="Milestone","D",1),""))</f>
        <v/>
      </c>
      <c r="I47" s="43" t="str">
        <f aca="false">IF($E47="","",IF(AND(I$4&gt;=$E47,I$4&lt;=$F47),IF($D47="Milestone","D",1),""))</f>
        <v/>
      </c>
      <c r="J47" s="43" t="str">
        <f aca="false">IF($E47="","",IF(AND(J$4&gt;=$E47,J$4&lt;=$F47),IF($D47="Milestone","D",1),""))</f>
        <v/>
      </c>
      <c r="K47" s="43" t="str">
        <f aca="false">IF($E47="","",IF(AND(K$4&gt;=$E47,K$4&lt;=$F47),IF($D47="Milestone","D",1),""))</f>
        <v/>
      </c>
      <c r="L47" s="43" t="str">
        <f aca="false">IF($E47="","",IF(AND(L$4&gt;=$E47,L$4&lt;=$F47),IF($D47="Milestone","D",1),""))</f>
        <v/>
      </c>
      <c r="M47" s="43" t="str">
        <f aca="false">IF($E47="","",IF(AND(M$4&gt;=$E47,M$4&lt;=$F47),IF($D47="Milestone","D",1),""))</f>
        <v/>
      </c>
      <c r="N47" s="43" t="str">
        <f aca="false">IF($E47="","",IF(AND(N$4&gt;=$E47,N$4&lt;=$F47),IF($D47="Milestone","D",1),""))</f>
        <v/>
      </c>
      <c r="O47" s="43" t="str">
        <f aca="false">IF($E47="","",IF(AND(O$4&gt;=$E47,O$4&lt;=$F47),IF($D47="Milestone","D",1),""))</f>
        <v/>
      </c>
      <c r="P47" s="43" t="str">
        <f aca="false">IF($E47="","",IF(AND(P$4&gt;=$E47,P$4&lt;=$F47),IF($D47="Milestone","D",1),""))</f>
        <v/>
      </c>
      <c r="Q47" s="43" t="str">
        <f aca="false">IF($E47="","",IF(AND(Q$4&gt;=$E47,Q$4&lt;=$F47),IF($D47="Milestone","D",1),""))</f>
        <v/>
      </c>
      <c r="R47" s="43" t="str">
        <f aca="false">IF($E47="","",IF(AND(R$4&gt;=$E47,R$4&lt;=$F47),IF($D47="Milestone","D",1),""))</f>
        <v/>
      </c>
      <c r="S47" s="43" t="str">
        <f aca="false">IF($E47="","",IF(AND(S$4&gt;=$E47,S$4&lt;=$F47),IF($D47="Milestone","D",1),""))</f>
        <v/>
      </c>
      <c r="T47" s="43" t="str">
        <f aca="false">IF($E47="","",IF(AND(T$4&gt;=$E47,T$4&lt;=$F47),IF($D47="Milestone","D",1),""))</f>
        <v/>
      </c>
      <c r="U47" s="43" t="str">
        <f aca="false">IF($E47="","",IF(AND(U$4&gt;=$E47,U$4&lt;=$F47),IF($D47="Milestone","D",1),""))</f>
        <v/>
      </c>
      <c r="V47" s="43" t="str">
        <f aca="false">IF($E47="","",IF(AND(V$4&gt;=$E47,V$4&lt;=$F47),IF($D47="Milestone","D",1),""))</f>
        <v/>
      </c>
      <c r="W47" s="43" t="str">
        <f aca="false">IF($E47="","",IF(AND(W$4&gt;=$E47,W$4&lt;=$F47),IF($D47="Milestone","D",1),""))</f>
        <v/>
      </c>
      <c r="X47" s="43" t="str">
        <f aca="false">IF($E47="","",IF(AND(X$4&gt;=$E47,X$4&lt;=$F47),IF($D47="Milestone","D",1),""))</f>
        <v/>
      </c>
      <c r="Y47" s="43" t="str">
        <f aca="false">IF($E47="","",IF(AND(Y$4&gt;=$E47,Y$4&lt;=$F47),IF($D47="Milestone","D",1),""))</f>
        <v/>
      </c>
      <c r="Z47" s="43" t="str">
        <f aca="false">IF($E47="","",IF(AND(Z$4&gt;=$E47,Z$4&lt;=$F47),IF($D47="Milestone","D",1),""))</f>
        <v/>
      </c>
      <c r="AA47" s="43" t="str">
        <f aca="false">IF($E47="","",IF(AND(AA$4&gt;=$E47,AA$4&lt;=$F47),IF($D47="Milestone","D",1),""))</f>
        <v/>
      </c>
      <c r="AB47" s="43" t="str">
        <f aca="false">IF($E47="","",IF(AND(AB$4&gt;=$E47,AB$4&lt;=$F47),IF($D47="Milestone","D",1),""))</f>
        <v/>
      </c>
      <c r="AC47" s="43" t="str">
        <f aca="false">IF($E47="","",IF(AND(AC$4&gt;=$E47,AC$4&lt;=$F47),IF($D47="Milestone","D",1),""))</f>
        <v/>
      </c>
      <c r="AD47" s="43" t="str">
        <f aca="false">IF($E47="","",IF(AND(AD$4&gt;=$E47,AD$4&lt;=$F47),IF($D47="Milestone","D",1),""))</f>
        <v/>
      </c>
      <c r="AE47" s="43" t="str">
        <f aca="false">IF($E47="","",IF(AND(AE$4&gt;=$E47,AE$4&lt;=$F47),IF($D47="Milestone","D",1),""))</f>
        <v/>
      </c>
      <c r="AF47" s="43" t="n">
        <f aca="false">IF($E47="","",IF(AND(AF$4&gt;=$E47,AF$4&lt;=$F47),IF($D47="Milestone","D",1),""))</f>
        <v>1</v>
      </c>
      <c r="AG47" s="43" t="n">
        <f aca="false">IF($E47="","",IF(AND(AG$4&gt;=$E47,AG$4&lt;=$F47),IF($D47="Milestone","D",1),""))</f>
        <v>1</v>
      </c>
      <c r="AH47" s="43" t="str">
        <f aca="false">IF($E47="","",IF(AND(AH$4&gt;=$E47,AH$4&lt;=$F47),IF($D47="Milestone","D",1),""))</f>
        <v/>
      </c>
    </row>
    <row r="48" customFormat="false" ht="15" hidden="false" customHeight="false" outlineLevel="0" collapsed="false">
      <c r="A48" s="40" t="str">
        <f aca="false">WBS!A45</f>
        <v>CT-22</v>
      </c>
      <c r="B48" s="41" t="str">
        <f aca="false">WBS!B45</f>
        <v>S3b - catch controller</v>
      </c>
      <c r="C48" s="40" t="str">
        <f aca="false">WBS!E45</f>
        <v>Andrea</v>
      </c>
      <c r="D48" s="40" t="str">
        <f aca="false">WBS!D45</f>
        <v>Control &amp; Software</v>
      </c>
      <c r="E48" s="42" t="n">
        <f aca="false">WBS!L45</f>
        <v>46252</v>
      </c>
      <c r="F48" s="42" t="n">
        <f aca="false">WBS!M45</f>
        <v>46253</v>
      </c>
      <c r="G48" s="43" t="str">
        <f aca="false">IF($E48="","",IF(AND(G$4&gt;=$E48,G$4&lt;=$F48),IF($D48="Milestone","D",1),""))</f>
        <v/>
      </c>
      <c r="H48" s="43" t="str">
        <f aca="false">IF($E48="","",IF(AND(H$4&gt;=$E48,H$4&lt;=$F48),IF($D48="Milestone","D",1),""))</f>
        <v/>
      </c>
      <c r="I48" s="43" t="str">
        <f aca="false">IF($E48="","",IF(AND(I$4&gt;=$E48,I$4&lt;=$F48),IF($D48="Milestone","D",1),""))</f>
        <v/>
      </c>
      <c r="J48" s="43" t="str">
        <f aca="false">IF($E48="","",IF(AND(J$4&gt;=$E48,J$4&lt;=$F48),IF($D48="Milestone","D",1),""))</f>
        <v/>
      </c>
      <c r="K48" s="43" t="str">
        <f aca="false">IF($E48="","",IF(AND(K$4&gt;=$E48,K$4&lt;=$F48),IF($D48="Milestone","D",1),""))</f>
        <v/>
      </c>
      <c r="L48" s="43" t="str">
        <f aca="false">IF($E48="","",IF(AND(L$4&gt;=$E48,L$4&lt;=$F48),IF($D48="Milestone","D",1),""))</f>
        <v/>
      </c>
      <c r="M48" s="43" t="str">
        <f aca="false">IF($E48="","",IF(AND(M$4&gt;=$E48,M$4&lt;=$F48),IF($D48="Milestone","D",1),""))</f>
        <v/>
      </c>
      <c r="N48" s="43" t="str">
        <f aca="false">IF($E48="","",IF(AND(N$4&gt;=$E48,N$4&lt;=$F48),IF($D48="Milestone","D",1),""))</f>
        <v/>
      </c>
      <c r="O48" s="43" t="str">
        <f aca="false">IF($E48="","",IF(AND(O$4&gt;=$E48,O$4&lt;=$F48),IF($D48="Milestone","D",1),""))</f>
        <v/>
      </c>
      <c r="P48" s="43" t="str">
        <f aca="false">IF($E48="","",IF(AND(P$4&gt;=$E48,P$4&lt;=$F48),IF($D48="Milestone","D",1),""))</f>
        <v/>
      </c>
      <c r="Q48" s="43" t="str">
        <f aca="false">IF($E48="","",IF(AND(Q$4&gt;=$E48,Q$4&lt;=$F48),IF($D48="Milestone","D",1),""))</f>
        <v/>
      </c>
      <c r="R48" s="43" t="str">
        <f aca="false">IF($E48="","",IF(AND(R$4&gt;=$E48,R$4&lt;=$F48),IF($D48="Milestone","D",1),""))</f>
        <v/>
      </c>
      <c r="S48" s="43" t="str">
        <f aca="false">IF($E48="","",IF(AND(S$4&gt;=$E48,S$4&lt;=$F48),IF($D48="Milestone","D",1),""))</f>
        <v/>
      </c>
      <c r="T48" s="43" t="str">
        <f aca="false">IF($E48="","",IF(AND(T$4&gt;=$E48,T$4&lt;=$F48),IF($D48="Milestone","D",1),""))</f>
        <v/>
      </c>
      <c r="U48" s="43" t="str">
        <f aca="false">IF($E48="","",IF(AND(U$4&gt;=$E48,U$4&lt;=$F48),IF($D48="Milestone","D",1),""))</f>
        <v/>
      </c>
      <c r="V48" s="43" t="str">
        <f aca="false">IF($E48="","",IF(AND(V$4&gt;=$E48,V$4&lt;=$F48),IF($D48="Milestone","D",1),""))</f>
        <v/>
      </c>
      <c r="W48" s="43" t="str">
        <f aca="false">IF($E48="","",IF(AND(W$4&gt;=$E48,W$4&lt;=$F48),IF($D48="Milestone","D",1),""))</f>
        <v/>
      </c>
      <c r="X48" s="43" t="str">
        <f aca="false">IF($E48="","",IF(AND(X$4&gt;=$E48,X$4&lt;=$F48),IF($D48="Milestone","D",1),""))</f>
        <v/>
      </c>
      <c r="Y48" s="43" t="str">
        <f aca="false">IF($E48="","",IF(AND(Y$4&gt;=$E48,Y$4&lt;=$F48),IF($D48="Milestone","D",1),""))</f>
        <v/>
      </c>
      <c r="Z48" s="43" t="str">
        <f aca="false">IF($E48="","",IF(AND(Z$4&gt;=$E48,Z$4&lt;=$F48),IF($D48="Milestone","D",1),""))</f>
        <v/>
      </c>
      <c r="AA48" s="43" t="str">
        <f aca="false">IF($E48="","",IF(AND(AA$4&gt;=$E48,AA$4&lt;=$F48),IF($D48="Milestone","D",1),""))</f>
        <v/>
      </c>
      <c r="AB48" s="43" t="str">
        <f aca="false">IF($E48="","",IF(AND(AB$4&gt;=$E48,AB$4&lt;=$F48),IF($D48="Milestone","D",1),""))</f>
        <v/>
      </c>
      <c r="AC48" s="43" t="str">
        <f aca="false">IF($E48="","",IF(AND(AC$4&gt;=$E48,AC$4&lt;=$F48),IF($D48="Milestone","D",1),""))</f>
        <v/>
      </c>
      <c r="AD48" s="43" t="str">
        <f aca="false">IF($E48="","",IF(AND(AD$4&gt;=$E48,AD$4&lt;=$F48),IF($D48="Milestone","D",1),""))</f>
        <v/>
      </c>
      <c r="AE48" s="43" t="str">
        <f aca="false">IF($E48="","",IF(AND(AE$4&gt;=$E48,AE$4&lt;=$F48),IF($D48="Milestone","D",1),""))</f>
        <v/>
      </c>
      <c r="AF48" s="43" t="str">
        <f aca="false">IF($E48="","",IF(AND(AF$4&gt;=$E48,AF$4&lt;=$F48),IF($D48="Milestone","D",1),""))</f>
        <v/>
      </c>
      <c r="AG48" s="43" t="n">
        <f aca="false">IF($E48="","",IF(AND(AG$4&gt;=$E48,AG$4&lt;=$F48),IF($D48="Milestone","D",1),""))</f>
        <v>1</v>
      </c>
      <c r="AH48" s="43" t="n">
        <f aca="false">IF($E48="","",IF(AND(AH$4&gt;=$E48,AH$4&lt;=$F48),IF($D48="Milestone","D",1),""))</f>
        <v>1</v>
      </c>
    </row>
    <row r="49" customFormat="false" ht="15" hidden="false" customHeight="false" outlineLevel="0" collapsed="false">
      <c r="A49" s="40" t="str">
        <f aca="false">WBS!A46</f>
        <v>CT-23</v>
      </c>
      <c r="B49" s="41" t="str">
        <f aca="false">WBS!B46</f>
        <v>Log post-processing</v>
      </c>
      <c r="C49" s="40" t="str">
        <f aca="false">WBS!E46</f>
        <v>Andrea</v>
      </c>
      <c r="D49" s="40" t="str">
        <f aca="false">WBS!D46</f>
        <v>Control &amp; Software</v>
      </c>
      <c r="E49" s="42" t="n">
        <f aca="false">WBS!L46</f>
        <v>46240</v>
      </c>
      <c r="F49" s="42" t="n">
        <f aca="false">WBS!M46</f>
        <v>46241</v>
      </c>
      <c r="G49" s="43" t="str">
        <f aca="false">IF($E49="","",IF(AND(G$4&gt;=$E49,G$4&lt;=$F49),IF($D49="Milestone","D",1),""))</f>
        <v/>
      </c>
      <c r="H49" s="43" t="str">
        <f aca="false">IF($E49="","",IF(AND(H$4&gt;=$E49,H$4&lt;=$F49),IF($D49="Milestone","D",1),""))</f>
        <v/>
      </c>
      <c r="I49" s="43" t="str">
        <f aca="false">IF($E49="","",IF(AND(I$4&gt;=$E49,I$4&lt;=$F49),IF($D49="Milestone","D",1),""))</f>
        <v/>
      </c>
      <c r="J49" s="43" t="str">
        <f aca="false">IF($E49="","",IF(AND(J$4&gt;=$E49,J$4&lt;=$F49),IF($D49="Milestone","D",1),""))</f>
        <v/>
      </c>
      <c r="K49" s="43" t="str">
        <f aca="false">IF($E49="","",IF(AND(K$4&gt;=$E49,K$4&lt;=$F49),IF($D49="Milestone","D",1),""))</f>
        <v/>
      </c>
      <c r="L49" s="43" t="str">
        <f aca="false">IF($E49="","",IF(AND(L$4&gt;=$E49,L$4&lt;=$F49),IF($D49="Milestone","D",1),""))</f>
        <v/>
      </c>
      <c r="M49" s="43" t="str">
        <f aca="false">IF($E49="","",IF(AND(M$4&gt;=$E49,M$4&lt;=$F49),IF($D49="Milestone","D",1),""))</f>
        <v/>
      </c>
      <c r="N49" s="43" t="str">
        <f aca="false">IF($E49="","",IF(AND(N$4&gt;=$E49,N$4&lt;=$F49),IF($D49="Milestone","D",1),""))</f>
        <v/>
      </c>
      <c r="O49" s="43" t="str">
        <f aca="false">IF($E49="","",IF(AND(O$4&gt;=$E49,O$4&lt;=$F49),IF($D49="Milestone","D",1),""))</f>
        <v/>
      </c>
      <c r="P49" s="43" t="str">
        <f aca="false">IF($E49="","",IF(AND(P$4&gt;=$E49,P$4&lt;=$F49),IF($D49="Milestone","D",1),""))</f>
        <v/>
      </c>
      <c r="Q49" s="43" t="str">
        <f aca="false">IF($E49="","",IF(AND(Q$4&gt;=$E49,Q$4&lt;=$F49),IF($D49="Milestone","D",1),""))</f>
        <v/>
      </c>
      <c r="R49" s="43" t="str">
        <f aca="false">IF($E49="","",IF(AND(R$4&gt;=$E49,R$4&lt;=$F49),IF($D49="Milestone","D",1),""))</f>
        <v/>
      </c>
      <c r="S49" s="43" t="str">
        <f aca="false">IF($E49="","",IF(AND(S$4&gt;=$E49,S$4&lt;=$F49),IF($D49="Milestone","D",1),""))</f>
        <v/>
      </c>
      <c r="T49" s="43" t="str">
        <f aca="false">IF($E49="","",IF(AND(T$4&gt;=$E49,T$4&lt;=$F49),IF($D49="Milestone","D",1),""))</f>
        <v/>
      </c>
      <c r="U49" s="43" t="n">
        <f aca="false">IF($E49="","",IF(AND(U$4&gt;=$E49,U$4&lt;=$F49),IF($D49="Milestone","D",1),""))</f>
        <v>1</v>
      </c>
      <c r="V49" s="43" t="n">
        <f aca="false">IF($E49="","",IF(AND(V$4&gt;=$E49,V$4&lt;=$F49),IF($D49="Milestone","D",1),""))</f>
        <v>1</v>
      </c>
      <c r="W49" s="43" t="str">
        <f aca="false">IF($E49="","",IF(AND(W$4&gt;=$E49,W$4&lt;=$F49),IF($D49="Milestone","D",1),""))</f>
        <v/>
      </c>
      <c r="X49" s="43" t="str">
        <f aca="false">IF($E49="","",IF(AND(X$4&gt;=$E49,X$4&lt;=$F49),IF($D49="Milestone","D",1),""))</f>
        <v/>
      </c>
      <c r="Y49" s="43" t="str">
        <f aca="false">IF($E49="","",IF(AND(Y$4&gt;=$E49,Y$4&lt;=$F49),IF($D49="Milestone","D",1),""))</f>
        <v/>
      </c>
      <c r="Z49" s="43" t="str">
        <f aca="false">IF($E49="","",IF(AND(Z$4&gt;=$E49,Z$4&lt;=$F49),IF($D49="Milestone","D",1),""))</f>
        <v/>
      </c>
      <c r="AA49" s="43" t="str">
        <f aca="false">IF($E49="","",IF(AND(AA$4&gt;=$E49,AA$4&lt;=$F49),IF($D49="Milestone","D",1),""))</f>
        <v/>
      </c>
      <c r="AB49" s="43" t="str">
        <f aca="false">IF($E49="","",IF(AND(AB$4&gt;=$E49,AB$4&lt;=$F49),IF($D49="Milestone","D",1),""))</f>
        <v/>
      </c>
      <c r="AC49" s="43" t="str">
        <f aca="false">IF($E49="","",IF(AND(AC$4&gt;=$E49,AC$4&lt;=$F49),IF($D49="Milestone","D",1),""))</f>
        <v/>
      </c>
      <c r="AD49" s="43" t="str">
        <f aca="false">IF($E49="","",IF(AND(AD$4&gt;=$E49,AD$4&lt;=$F49),IF($D49="Milestone","D",1),""))</f>
        <v/>
      </c>
      <c r="AE49" s="43" t="str">
        <f aca="false">IF($E49="","",IF(AND(AE$4&gt;=$E49,AE$4&lt;=$F49),IF($D49="Milestone","D",1),""))</f>
        <v/>
      </c>
      <c r="AF49" s="43" t="str">
        <f aca="false">IF($E49="","",IF(AND(AF$4&gt;=$E49,AF$4&lt;=$F49),IF($D49="Milestone","D",1),""))</f>
        <v/>
      </c>
      <c r="AG49" s="43" t="str">
        <f aca="false">IF($E49="","",IF(AND(AG$4&gt;=$E49,AG$4&lt;=$F49),IF($D49="Milestone","D",1),""))</f>
        <v/>
      </c>
      <c r="AH49" s="43" t="str">
        <f aca="false">IF($E49="","",IF(AND(AH$4&gt;=$E49,AH$4&lt;=$F49),IF($D49="Milestone","D",1),""))</f>
        <v/>
      </c>
    </row>
    <row r="50" customFormat="false" ht="15" hidden="false" customHeight="false" outlineLevel="0" collapsed="false">
      <c r="A50" s="40" t="str">
        <f aca="false">WBS!A47</f>
        <v>CT-24</v>
      </c>
      <c r="B50" s="41" t="str">
        <f aca="false">WBS!B47</f>
        <v>Walking (stretch)</v>
      </c>
      <c r="C50" s="40" t="str">
        <f aca="false">WBS!E47</f>
        <v>Andrea</v>
      </c>
      <c r="D50" s="40" t="str">
        <f aca="false">WBS!D47</f>
        <v>Control &amp; Software</v>
      </c>
      <c r="E50" s="42" t="n">
        <f aca="false">WBS!L47</f>
        <v>0</v>
      </c>
      <c r="F50" s="42" t="n">
        <f aca="false">WBS!M47</f>
        <v>0</v>
      </c>
      <c r="G50" s="43" t="str">
        <f aca="false">IF($E50="","",IF(AND(G$4&gt;=$E50,G$4&lt;=$F50),IF($D50="Milestone","D",1),""))</f>
        <v/>
      </c>
      <c r="H50" s="43" t="str">
        <f aca="false">IF($E50="","",IF(AND(H$4&gt;=$E50,H$4&lt;=$F50),IF($D50="Milestone","D",1),""))</f>
        <v/>
      </c>
      <c r="I50" s="43" t="str">
        <f aca="false">IF($E50="","",IF(AND(I$4&gt;=$E50,I$4&lt;=$F50),IF($D50="Milestone","D",1),""))</f>
        <v/>
      </c>
      <c r="J50" s="43" t="str">
        <f aca="false">IF($E50="","",IF(AND(J$4&gt;=$E50,J$4&lt;=$F50),IF($D50="Milestone","D",1),""))</f>
        <v/>
      </c>
      <c r="K50" s="43" t="str">
        <f aca="false">IF($E50="","",IF(AND(K$4&gt;=$E50,K$4&lt;=$F50),IF($D50="Milestone","D",1),""))</f>
        <v/>
      </c>
      <c r="L50" s="43" t="str">
        <f aca="false">IF($E50="","",IF(AND(L$4&gt;=$E50,L$4&lt;=$F50),IF($D50="Milestone","D",1),""))</f>
        <v/>
      </c>
      <c r="M50" s="43" t="str">
        <f aca="false">IF($E50="","",IF(AND(M$4&gt;=$E50,M$4&lt;=$F50),IF($D50="Milestone","D",1),""))</f>
        <v/>
      </c>
      <c r="N50" s="43" t="str">
        <f aca="false">IF($E50="","",IF(AND(N$4&gt;=$E50,N$4&lt;=$F50),IF($D50="Milestone","D",1),""))</f>
        <v/>
      </c>
      <c r="O50" s="43" t="str">
        <f aca="false">IF($E50="","",IF(AND(O$4&gt;=$E50,O$4&lt;=$F50),IF($D50="Milestone","D",1),""))</f>
        <v/>
      </c>
      <c r="P50" s="43" t="str">
        <f aca="false">IF($E50="","",IF(AND(P$4&gt;=$E50,P$4&lt;=$F50),IF($D50="Milestone","D",1),""))</f>
        <v/>
      </c>
      <c r="Q50" s="43" t="str">
        <f aca="false">IF($E50="","",IF(AND(Q$4&gt;=$E50,Q$4&lt;=$F50),IF($D50="Milestone","D",1),""))</f>
        <v/>
      </c>
      <c r="R50" s="43" t="str">
        <f aca="false">IF($E50="","",IF(AND(R$4&gt;=$E50,R$4&lt;=$F50),IF($D50="Milestone","D",1),""))</f>
        <v/>
      </c>
      <c r="S50" s="43" t="str">
        <f aca="false">IF($E50="","",IF(AND(S$4&gt;=$E50,S$4&lt;=$F50),IF($D50="Milestone","D",1),""))</f>
        <v/>
      </c>
      <c r="T50" s="43" t="str">
        <f aca="false">IF($E50="","",IF(AND(T$4&gt;=$E50,T$4&lt;=$F50),IF($D50="Milestone","D",1),""))</f>
        <v/>
      </c>
      <c r="U50" s="43" t="str">
        <f aca="false">IF($E50="","",IF(AND(U$4&gt;=$E50,U$4&lt;=$F50),IF($D50="Milestone","D",1),""))</f>
        <v/>
      </c>
      <c r="V50" s="43" t="str">
        <f aca="false">IF($E50="","",IF(AND(V$4&gt;=$E50,V$4&lt;=$F50),IF($D50="Milestone","D",1),""))</f>
        <v/>
      </c>
      <c r="W50" s="43" t="str">
        <f aca="false">IF($E50="","",IF(AND(W$4&gt;=$E50,W$4&lt;=$F50),IF($D50="Milestone","D",1),""))</f>
        <v/>
      </c>
      <c r="X50" s="43" t="str">
        <f aca="false">IF($E50="","",IF(AND(X$4&gt;=$E50,X$4&lt;=$F50),IF($D50="Milestone","D",1),""))</f>
        <v/>
      </c>
      <c r="Y50" s="43" t="str">
        <f aca="false">IF($E50="","",IF(AND(Y$4&gt;=$E50,Y$4&lt;=$F50),IF($D50="Milestone","D",1),""))</f>
        <v/>
      </c>
      <c r="Z50" s="43" t="str">
        <f aca="false">IF($E50="","",IF(AND(Z$4&gt;=$E50,Z$4&lt;=$F50),IF($D50="Milestone","D",1),""))</f>
        <v/>
      </c>
      <c r="AA50" s="43" t="str">
        <f aca="false">IF($E50="","",IF(AND(AA$4&gt;=$E50,AA$4&lt;=$F50),IF($D50="Milestone","D",1),""))</f>
        <v/>
      </c>
      <c r="AB50" s="43" t="str">
        <f aca="false">IF($E50="","",IF(AND(AB$4&gt;=$E50,AB$4&lt;=$F50),IF($D50="Milestone","D",1),""))</f>
        <v/>
      </c>
      <c r="AC50" s="43" t="str">
        <f aca="false">IF($E50="","",IF(AND(AC$4&gt;=$E50,AC$4&lt;=$F50),IF($D50="Milestone","D",1),""))</f>
        <v/>
      </c>
      <c r="AD50" s="43" t="str">
        <f aca="false">IF($E50="","",IF(AND(AD$4&gt;=$E50,AD$4&lt;=$F50),IF($D50="Milestone","D",1),""))</f>
        <v/>
      </c>
      <c r="AE50" s="43" t="str">
        <f aca="false">IF($E50="","",IF(AND(AE$4&gt;=$E50,AE$4&lt;=$F50),IF($D50="Milestone","D",1),""))</f>
        <v/>
      </c>
      <c r="AF50" s="43" t="str">
        <f aca="false">IF($E50="","",IF(AND(AF$4&gt;=$E50,AF$4&lt;=$F50),IF($D50="Milestone","D",1),""))</f>
        <v/>
      </c>
      <c r="AG50" s="43" t="str">
        <f aca="false">IF($E50="","",IF(AND(AG$4&gt;=$E50,AG$4&lt;=$F50),IF($D50="Milestone","D",1),""))</f>
        <v/>
      </c>
      <c r="AH50" s="43" t="str">
        <f aca="false">IF($E50="","",IF(AND(AH$4&gt;=$E50,AH$4&lt;=$F50),IF($D50="Milestone","D",1),""))</f>
        <v/>
      </c>
    </row>
    <row r="51" customFormat="false" ht="15" hidden="false" customHeight="false" outlineLevel="0" collapsed="false">
      <c r="A51" s="40" t="str">
        <f aca="false">WBS!A48</f>
        <v>CT-25</v>
      </c>
      <c r="B51" s="41" t="str">
        <f aca="false">WBS!B48</f>
        <v>NMPC warm start (stretch)</v>
      </c>
      <c r="C51" s="40" t="str">
        <f aca="false">WBS!E48</f>
        <v>Andrea</v>
      </c>
      <c r="D51" s="40" t="str">
        <f aca="false">WBS!D48</f>
        <v>Control &amp; Software</v>
      </c>
      <c r="E51" s="42" t="n">
        <f aca="false">WBS!L48</f>
        <v>0</v>
      </c>
      <c r="F51" s="42" t="n">
        <f aca="false">WBS!M48</f>
        <v>0</v>
      </c>
      <c r="G51" s="43" t="str">
        <f aca="false">IF($E51="","",IF(AND(G$4&gt;=$E51,G$4&lt;=$F51),IF($D51="Milestone","D",1),""))</f>
        <v/>
      </c>
      <c r="H51" s="43" t="str">
        <f aca="false">IF($E51="","",IF(AND(H$4&gt;=$E51,H$4&lt;=$F51),IF($D51="Milestone","D",1),""))</f>
        <v/>
      </c>
      <c r="I51" s="43" t="str">
        <f aca="false">IF($E51="","",IF(AND(I$4&gt;=$E51,I$4&lt;=$F51),IF($D51="Milestone","D",1),""))</f>
        <v/>
      </c>
      <c r="J51" s="43" t="str">
        <f aca="false">IF($E51="","",IF(AND(J$4&gt;=$E51,J$4&lt;=$F51),IF($D51="Milestone","D",1),""))</f>
        <v/>
      </c>
      <c r="K51" s="43" t="str">
        <f aca="false">IF($E51="","",IF(AND(K$4&gt;=$E51,K$4&lt;=$F51),IF($D51="Milestone","D",1),""))</f>
        <v/>
      </c>
      <c r="L51" s="43" t="str">
        <f aca="false">IF($E51="","",IF(AND(L$4&gt;=$E51,L$4&lt;=$F51),IF($D51="Milestone","D",1),""))</f>
        <v/>
      </c>
      <c r="M51" s="43" t="str">
        <f aca="false">IF($E51="","",IF(AND(M$4&gt;=$E51,M$4&lt;=$F51),IF($D51="Milestone","D",1),""))</f>
        <v/>
      </c>
      <c r="N51" s="43" t="str">
        <f aca="false">IF($E51="","",IF(AND(N$4&gt;=$E51,N$4&lt;=$F51),IF($D51="Milestone","D",1),""))</f>
        <v/>
      </c>
      <c r="O51" s="43" t="str">
        <f aca="false">IF($E51="","",IF(AND(O$4&gt;=$E51,O$4&lt;=$F51),IF($D51="Milestone","D",1),""))</f>
        <v/>
      </c>
      <c r="P51" s="43" t="str">
        <f aca="false">IF($E51="","",IF(AND(P$4&gt;=$E51,P$4&lt;=$F51),IF($D51="Milestone","D",1),""))</f>
        <v/>
      </c>
      <c r="Q51" s="43" t="str">
        <f aca="false">IF($E51="","",IF(AND(Q$4&gt;=$E51,Q$4&lt;=$F51),IF($D51="Milestone","D",1),""))</f>
        <v/>
      </c>
      <c r="R51" s="43" t="str">
        <f aca="false">IF($E51="","",IF(AND(R$4&gt;=$E51,R$4&lt;=$F51),IF($D51="Milestone","D",1),""))</f>
        <v/>
      </c>
      <c r="S51" s="43" t="str">
        <f aca="false">IF($E51="","",IF(AND(S$4&gt;=$E51,S$4&lt;=$F51),IF($D51="Milestone","D",1),""))</f>
        <v/>
      </c>
      <c r="T51" s="43" t="str">
        <f aca="false">IF($E51="","",IF(AND(T$4&gt;=$E51,T$4&lt;=$F51),IF($D51="Milestone","D",1),""))</f>
        <v/>
      </c>
      <c r="U51" s="43" t="str">
        <f aca="false">IF($E51="","",IF(AND(U$4&gt;=$E51,U$4&lt;=$F51),IF($D51="Milestone","D",1),""))</f>
        <v/>
      </c>
      <c r="V51" s="43" t="str">
        <f aca="false">IF($E51="","",IF(AND(V$4&gt;=$E51,V$4&lt;=$F51),IF($D51="Milestone","D",1),""))</f>
        <v/>
      </c>
      <c r="W51" s="43" t="str">
        <f aca="false">IF($E51="","",IF(AND(W$4&gt;=$E51,W$4&lt;=$F51),IF($D51="Milestone","D",1),""))</f>
        <v/>
      </c>
      <c r="X51" s="43" t="str">
        <f aca="false">IF($E51="","",IF(AND(X$4&gt;=$E51,X$4&lt;=$F51),IF($D51="Milestone","D",1),""))</f>
        <v/>
      </c>
      <c r="Y51" s="43" t="str">
        <f aca="false">IF($E51="","",IF(AND(Y$4&gt;=$E51,Y$4&lt;=$F51),IF($D51="Milestone","D",1),""))</f>
        <v/>
      </c>
      <c r="Z51" s="43" t="str">
        <f aca="false">IF($E51="","",IF(AND(Z$4&gt;=$E51,Z$4&lt;=$F51),IF($D51="Milestone","D",1),""))</f>
        <v/>
      </c>
      <c r="AA51" s="43" t="str">
        <f aca="false">IF($E51="","",IF(AND(AA$4&gt;=$E51,AA$4&lt;=$F51),IF($D51="Milestone","D",1),""))</f>
        <v/>
      </c>
      <c r="AB51" s="43" t="str">
        <f aca="false">IF($E51="","",IF(AND(AB$4&gt;=$E51,AB$4&lt;=$F51),IF($D51="Milestone","D",1),""))</f>
        <v/>
      </c>
      <c r="AC51" s="43" t="str">
        <f aca="false">IF($E51="","",IF(AND(AC$4&gt;=$E51,AC$4&lt;=$F51),IF($D51="Milestone","D",1),""))</f>
        <v/>
      </c>
      <c r="AD51" s="43" t="str">
        <f aca="false">IF($E51="","",IF(AND(AD$4&gt;=$E51,AD$4&lt;=$F51),IF($D51="Milestone","D",1),""))</f>
        <v/>
      </c>
      <c r="AE51" s="43" t="str">
        <f aca="false">IF($E51="","",IF(AND(AE$4&gt;=$E51,AE$4&lt;=$F51),IF($D51="Milestone","D",1),""))</f>
        <v/>
      </c>
      <c r="AF51" s="43" t="str">
        <f aca="false">IF($E51="","",IF(AND(AF$4&gt;=$E51,AF$4&lt;=$F51),IF($D51="Milestone","D",1),""))</f>
        <v/>
      </c>
      <c r="AG51" s="43" t="str">
        <f aca="false">IF($E51="","",IF(AND(AG$4&gt;=$E51,AG$4&lt;=$F51),IF($D51="Milestone","D",1),""))</f>
        <v/>
      </c>
      <c r="AH51" s="43" t="str">
        <f aca="false">IF($E51="","",IF(AND(AH$4&gt;=$E51,AH$4&lt;=$F51),IF($D51="Milestone","D",1),""))</f>
        <v/>
      </c>
    </row>
    <row r="52" customFormat="false" ht="15" hidden="false" customHeight="false" outlineLevel="0" collapsed="false">
      <c r="A52" s="40" t="str">
        <f aca="false">WBS!A49</f>
        <v>CD-01</v>
      </c>
      <c r="B52" s="41" t="str">
        <f aca="false">WBS!B49</f>
        <v>Global layout study</v>
      </c>
      <c r="C52" s="40" t="str">
        <f aca="false">WBS!E49</f>
        <v>Neisa</v>
      </c>
      <c r="D52" s="40" t="str">
        <f aca="false">WBS!D49</f>
        <v>CAD Design</v>
      </c>
      <c r="E52" s="42" t="n">
        <f aca="false">WBS!L49</f>
        <v>46226</v>
      </c>
      <c r="F52" s="42" t="n">
        <f aca="false">WBS!M49</f>
        <v>46227</v>
      </c>
      <c r="G52" s="43" t="n">
        <f aca="false">IF($E52="","",IF(AND(G$4&gt;=$E52,G$4&lt;=$F52),IF($D52="Milestone","D",1),""))</f>
        <v>1</v>
      </c>
      <c r="H52" s="43" t="n">
        <f aca="false">IF($E52="","",IF(AND(H$4&gt;=$E52,H$4&lt;=$F52),IF($D52="Milestone","D",1),""))</f>
        <v>1</v>
      </c>
      <c r="I52" s="43" t="str">
        <f aca="false">IF($E52="","",IF(AND(I$4&gt;=$E52,I$4&lt;=$F52),IF($D52="Milestone","D",1),""))</f>
        <v/>
      </c>
      <c r="J52" s="43" t="str">
        <f aca="false">IF($E52="","",IF(AND(J$4&gt;=$E52,J$4&lt;=$F52),IF($D52="Milestone","D",1),""))</f>
        <v/>
      </c>
      <c r="K52" s="43" t="str">
        <f aca="false">IF($E52="","",IF(AND(K$4&gt;=$E52,K$4&lt;=$F52),IF($D52="Milestone","D",1),""))</f>
        <v/>
      </c>
      <c r="L52" s="43" t="str">
        <f aca="false">IF($E52="","",IF(AND(L$4&gt;=$E52,L$4&lt;=$F52),IF($D52="Milestone","D",1),""))</f>
        <v/>
      </c>
      <c r="M52" s="43" t="str">
        <f aca="false">IF($E52="","",IF(AND(M$4&gt;=$E52,M$4&lt;=$F52),IF($D52="Milestone","D",1),""))</f>
        <v/>
      </c>
      <c r="N52" s="43" t="str">
        <f aca="false">IF($E52="","",IF(AND(N$4&gt;=$E52,N$4&lt;=$F52),IF($D52="Milestone","D",1),""))</f>
        <v/>
      </c>
      <c r="O52" s="43" t="str">
        <f aca="false">IF($E52="","",IF(AND(O$4&gt;=$E52,O$4&lt;=$F52),IF($D52="Milestone","D",1),""))</f>
        <v/>
      </c>
      <c r="P52" s="43" t="str">
        <f aca="false">IF($E52="","",IF(AND(P$4&gt;=$E52,P$4&lt;=$F52),IF($D52="Milestone","D",1),""))</f>
        <v/>
      </c>
      <c r="Q52" s="43" t="str">
        <f aca="false">IF($E52="","",IF(AND(Q$4&gt;=$E52,Q$4&lt;=$F52),IF($D52="Milestone","D",1),""))</f>
        <v/>
      </c>
      <c r="R52" s="43" t="str">
        <f aca="false">IF($E52="","",IF(AND(R$4&gt;=$E52,R$4&lt;=$F52),IF($D52="Milestone","D",1),""))</f>
        <v/>
      </c>
      <c r="S52" s="43" t="str">
        <f aca="false">IF($E52="","",IF(AND(S$4&gt;=$E52,S$4&lt;=$F52),IF($D52="Milestone","D",1),""))</f>
        <v/>
      </c>
      <c r="T52" s="43" t="str">
        <f aca="false">IF($E52="","",IF(AND(T$4&gt;=$E52,T$4&lt;=$F52),IF($D52="Milestone","D",1),""))</f>
        <v/>
      </c>
      <c r="U52" s="43" t="str">
        <f aca="false">IF($E52="","",IF(AND(U$4&gt;=$E52,U$4&lt;=$F52),IF($D52="Milestone","D",1),""))</f>
        <v/>
      </c>
      <c r="V52" s="43" t="str">
        <f aca="false">IF($E52="","",IF(AND(V$4&gt;=$E52,V$4&lt;=$F52),IF($D52="Milestone","D",1),""))</f>
        <v/>
      </c>
      <c r="W52" s="43" t="str">
        <f aca="false">IF($E52="","",IF(AND(W$4&gt;=$E52,W$4&lt;=$F52),IF($D52="Milestone","D",1),""))</f>
        <v/>
      </c>
      <c r="X52" s="43" t="str">
        <f aca="false">IF($E52="","",IF(AND(X$4&gt;=$E52,X$4&lt;=$F52),IF($D52="Milestone","D",1),""))</f>
        <v/>
      </c>
      <c r="Y52" s="43" t="str">
        <f aca="false">IF($E52="","",IF(AND(Y$4&gt;=$E52,Y$4&lt;=$F52),IF($D52="Milestone","D",1),""))</f>
        <v/>
      </c>
      <c r="Z52" s="43" t="str">
        <f aca="false">IF($E52="","",IF(AND(Z$4&gt;=$E52,Z$4&lt;=$F52),IF($D52="Milestone","D",1),""))</f>
        <v/>
      </c>
      <c r="AA52" s="43" t="str">
        <f aca="false">IF($E52="","",IF(AND(AA$4&gt;=$E52,AA$4&lt;=$F52),IF($D52="Milestone","D",1),""))</f>
        <v/>
      </c>
      <c r="AB52" s="43" t="str">
        <f aca="false">IF($E52="","",IF(AND(AB$4&gt;=$E52,AB$4&lt;=$F52),IF($D52="Milestone","D",1),""))</f>
        <v/>
      </c>
      <c r="AC52" s="43" t="str">
        <f aca="false">IF($E52="","",IF(AND(AC$4&gt;=$E52,AC$4&lt;=$F52),IF($D52="Milestone","D",1),""))</f>
        <v/>
      </c>
      <c r="AD52" s="43" t="str">
        <f aca="false">IF($E52="","",IF(AND(AD$4&gt;=$E52,AD$4&lt;=$F52),IF($D52="Milestone","D",1),""))</f>
        <v/>
      </c>
      <c r="AE52" s="43" t="str">
        <f aca="false">IF($E52="","",IF(AND(AE$4&gt;=$E52,AE$4&lt;=$F52),IF($D52="Milestone","D",1),""))</f>
        <v/>
      </c>
      <c r="AF52" s="43" t="str">
        <f aca="false">IF($E52="","",IF(AND(AF$4&gt;=$E52,AF$4&lt;=$F52),IF($D52="Milestone","D",1),""))</f>
        <v/>
      </c>
      <c r="AG52" s="43" t="str">
        <f aca="false">IF($E52="","",IF(AND(AG$4&gt;=$E52,AG$4&lt;=$F52),IF($D52="Milestone","D",1),""))</f>
        <v/>
      </c>
      <c r="AH52" s="43" t="str">
        <f aca="false">IF($E52="","",IF(AND(AH$4&gt;=$E52,AH$4&lt;=$F52),IF($D52="Milestone","D",1),""))</f>
        <v/>
      </c>
    </row>
    <row r="53" customFormat="false" ht="15" hidden="false" customHeight="false" outlineLevel="0" collapsed="false">
      <c r="A53" s="40" t="str">
        <f aca="false">WBS!A50</f>
        <v>CD-02</v>
      </c>
      <c r="B53" s="41" t="str">
        <f aca="false">WBS!B50</f>
        <v>Reaction wheel design</v>
      </c>
      <c r="C53" s="40" t="str">
        <f aca="false">WBS!E50</f>
        <v>Suvanna</v>
      </c>
      <c r="D53" s="40" t="str">
        <f aca="false">WBS!D50</f>
        <v>CAD Design</v>
      </c>
      <c r="E53" s="42" t="n">
        <f aca="false">WBS!L50</f>
        <v>46227</v>
      </c>
      <c r="F53" s="42" t="n">
        <f aca="false">WBS!M50</f>
        <v>46229</v>
      </c>
      <c r="G53" s="43" t="str">
        <f aca="false">IF($E53="","",IF(AND(G$4&gt;=$E53,G$4&lt;=$F53),IF($D53="Milestone","D",1),""))</f>
        <v/>
      </c>
      <c r="H53" s="43" t="n">
        <f aca="false">IF($E53="","",IF(AND(H$4&gt;=$E53,H$4&lt;=$F53),IF($D53="Milestone","D",1),""))</f>
        <v>1</v>
      </c>
      <c r="I53" s="43" t="n">
        <f aca="false">IF($E53="","",IF(AND(I$4&gt;=$E53,I$4&lt;=$F53),IF($D53="Milestone","D",1),""))</f>
        <v>1</v>
      </c>
      <c r="J53" s="43" t="n">
        <f aca="false">IF($E53="","",IF(AND(J$4&gt;=$E53,J$4&lt;=$F53),IF($D53="Milestone","D",1),""))</f>
        <v>1</v>
      </c>
      <c r="K53" s="43" t="str">
        <f aca="false">IF($E53="","",IF(AND(K$4&gt;=$E53,K$4&lt;=$F53),IF($D53="Milestone","D",1),""))</f>
        <v/>
      </c>
      <c r="L53" s="43" t="str">
        <f aca="false">IF($E53="","",IF(AND(L$4&gt;=$E53,L$4&lt;=$F53),IF($D53="Milestone","D",1),""))</f>
        <v/>
      </c>
      <c r="M53" s="43" t="str">
        <f aca="false">IF($E53="","",IF(AND(M$4&gt;=$E53,M$4&lt;=$F53),IF($D53="Milestone","D",1),""))</f>
        <v/>
      </c>
      <c r="N53" s="43" t="str">
        <f aca="false">IF($E53="","",IF(AND(N$4&gt;=$E53,N$4&lt;=$F53),IF($D53="Milestone","D",1),""))</f>
        <v/>
      </c>
      <c r="O53" s="43" t="str">
        <f aca="false">IF($E53="","",IF(AND(O$4&gt;=$E53,O$4&lt;=$F53),IF($D53="Milestone","D",1),""))</f>
        <v/>
      </c>
      <c r="P53" s="43" t="str">
        <f aca="false">IF($E53="","",IF(AND(P$4&gt;=$E53,P$4&lt;=$F53),IF($D53="Milestone","D",1),""))</f>
        <v/>
      </c>
      <c r="Q53" s="43" t="str">
        <f aca="false">IF($E53="","",IF(AND(Q$4&gt;=$E53,Q$4&lt;=$F53),IF($D53="Milestone","D",1),""))</f>
        <v/>
      </c>
      <c r="R53" s="43" t="str">
        <f aca="false">IF($E53="","",IF(AND(R$4&gt;=$E53,R$4&lt;=$F53),IF($D53="Milestone","D",1),""))</f>
        <v/>
      </c>
      <c r="S53" s="43" t="str">
        <f aca="false">IF($E53="","",IF(AND(S$4&gt;=$E53,S$4&lt;=$F53),IF($D53="Milestone","D",1),""))</f>
        <v/>
      </c>
      <c r="T53" s="43" t="str">
        <f aca="false">IF($E53="","",IF(AND(T$4&gt;=$E53,T$4&lt;=$F53),IF($D53="Milestone","D",1),""))</f>
        <v/>
      </c>
      <c r="U53" s="43" t="str">
        <f aca="false">IF($E53="","",IF(AND(U$4&gt;=$E53,U$4&lt;=$F53),IF($D53="Milestone","D",1),""))</f>
        <v/>
      </c>
      <c r="V53" s="43" t="str">
        <f aca="false">IF($E53="","",IF(AND(V$4&gt;=$E53,V$4&lt;=$F53),IF($D53="Milestone","D",1),""))</f>
        <v/>
      </c>
      <c r="W53" s="43" t="str">
        <f aca="false">IF($E53="","",IF(AND(W$4&gt;=$E53,W$4&lt;=$F53),IF($D53="Milestone","D",1),""))</f>
        <v/>
      </c>
      <c r="X53" s="43" t="str">
        <f aca="false">IF($E53="","",IF(AND(X$4&gt;=$E53,X$4&lt;=$F53),IF($D53="Milestone","D",1),""))</f>
        <v/>
      </c>
      <c r="Y53" s="43" t="str">
        <f aca="false">IF($E53="","",IF(AND(Y$4&gt;=$E53,Y$4&lt;=$F53),IF($D53="Milestone","D",1),""))</f>
        <v/>
      </c>
      <c r="Z53" s="43" t="str">
        <f aca="false">IF($E53="","",IF(AND(Z$4&gt;=$E53,Z$4&lt;=$F53),IF($D53="Milestone","D",1),""))</f>
        <v/>
      </c>
      <c r="AA53" s="43" t="str">
        <f aca="false">IF($E53="","",IF(AND(AA$4&gt;=$E53,AA$4&lt;=$F53),IF($D53="Milestone","D",1),""))</f>
        <v/>
      </c>
      <c r="AB53" s="43" t="str">
        <f aca="false">IF($E53="","",IF(AND(AB$4&gt;=$E53,AB$4&lt;=$F53),IF($D53="Milestone","D",1),""))</f>
        <v/>
      </c>
      <c r="AC53" s="43" t="str">
        <f aca="false">IF($E53="","",IF(AND(AC$4&gt;=$E53,AC$4&lt;=$F53),IF($D53="Milestone","D",1),""))</f>
        <v/>
      </c>
      <c r="AD53" s="43" t="str">
        <f aca="false">IF($E53="","",IF(AND(AD$4&gt;=$E53,AD$4&lt;=$F53),IF($D53="Milestone","D",1),""))</f>
        <v/>
      </c>
      <c r="AE53" s="43" t="str">
        <f aca="false">IF($E53="","",IF(AND(AE$4&gt;=$E53,AE$4&lt;=$F53),IF($D53="Milestone","D",1),""))</f>
        <v/>
      </c>
      <c r="AF53" s="43" t="str">
        <f aca="false">IF($E53="","",IF(AND(AF$4&gt;=$E53,AF$4&lt;=$F53),IF($D53="Milestone","D",1),""))</f>
        <v/>
      </c>
      <c r="AG53" s="43" t="str">
        <f aca="false">IF($E53="","",IF(AND(AG$4&gt;=$E53,AG$4&lt;=$F53),IF($D53="Milestone","D",1),""))</f>
        <v/>
      </c>
      <c r="AH53" s="43" t="str">
        <f aca="false">IF($E53="","",IF(AND(AH$4&gt;=$E53,AH$4&lt;=$F53),IF($D53="Milestone","D",1),""))</f>
        <v/>
      </c>
    </row>
    <row r="54" customFormat="false" ht="15" hidden="false" customHeight="false" outlineLevel="0" collapsed="false">
      <c r="A54" s="40" t="str">
        <f aca="false">WBS!A51</f>
        <v>CD-03</v>
      </c>
      <c r="B54" s="41" t="str">
        <f aca="false">WBS!B51</f>
        <v>Motor mount bracket</v>
      </c>
      <c r="C54" s="40" t="str">
        <f aca="false">WBS!E51</f>
        <v>Neisa</v>
      </c>
      <c r="D54" s="40" t="str">
        <f aca="false">WBS!D51</f>
        <v>CAD Design</v>
      </c>
      <c r="E54" s="42" t="n">
        <f aca="false">WBS!L51</f>
        <v>46230</v>
      </c>
      <c r="F54" s="42" t="n">
        <f aca="false">WBS!M51</f>
        <v>46230</v>
      </c>
      <c r="G54" s="43" t="str">
        <f aca="false">IF($E54="","",IF(AND(G$4&gt;=$E54,G$4&lt;=$F54),IF($D54="Milestone","D",1),""))</f>
        <v/>
      </c>
      <c r="H54" s="43" t="str">
        <f aca="false">IF($E54="","",IF(AND(H$4&gt;=$E54,H$4&lt;=$F54),IF($D54="Milestone","D",1),""))</f>
        <v/>
      </c>
      <c r="I54" s="43" t="str">
        <f aca="false">IF($E54="","",IF(AND(I$4&gt;=$E54,I$4&lt;=$F54),IF($D54="Milestone","D",1),""))</f>
        <v/>
      </c>
      <c r="J54" s="43" t="str">
        <f aca="false">IF($E54="","",IF(AND(J$4&gt;=$E54,J$4&lt;=$F54),IF($D54="Milestone","D",1),""))</f>
        <v/>
      </c>
      <c r="K54" s="43" t="n">
        <f aca="false">IF($E54="","",IF(AND(K$4&gt;=$E54,K$4&lt;=$F54),IF($D54="Milestone","D",1),""))</f>
        <v>1</v>
      </c>
      <c r="L54" s="43" t="str">
        <f aca="false">IF($E54="","",IF(AND(L$4&gt;=$E54,L$4&lt;=$F54),IF($D54="Milestone","D",1),""))</f>
        <v/>
      </c>
      <c r="M54" s="43" t="str">
        <f aca="false">IF($E54="","",IF(AND(M$4&gt;=$E54,M$4&lt;=$F54),IF($D54="Milestone","D",1),""))</f>
        <v/>
      </c>
      <c r="N54" s="43" t="str">
        <f aca="false">IF($E54="","",IF(AND(N$4&gt;=$E54,N$4&lt;=$F54),IF($D54="Milestone","D",1),""))</f>
        <v/>
      </c>
      <c r="O54" s="43" t="str">
        <f aca="false">IF($E54="","",IF(AND(O$4&gt;=$E54,O$4&lt;=$F54),IF($D54="Milestone","D",1),""))</f>
        <v/>
      </c>
      <c r="P54" s="43" t="str">
        <f aca="false">IF($E54="","",IF(AND(P$4&gt;=$E54,P$4&lt;=$F54),IF($D54="Milestone","D",1),""))</f>
        <v/>
      </c>
      <c r="Q54" s="43" t="str">
        <f aca="false">IF($E54="","",IF(AND(Q$4&gt;=$E54,Q$4&lt;=$F54),IF($D54="Milestone","D",1),""))</f>
        <v/>
      </c>
      <c r="R54" s="43" t="str">
        <f aca="false">IF($E54="","",IF(AND(R$4&gt;=$E54,R$4&lt;=$F54),IF($D54="Milestone","D",1),""))</f>
        <v/>
      </c>
      <c r="S54" s="43" t="str">
        <f aca="false">IF($E54="","",IF(AND(S$4&gt;=$E54,S$4&lt;=$F54),IF($D54="Milestone","D",1),""))</f>
        <v/>
      </c>
      <c r="T54" s="43" t="str">
        <f aca="false">IF($E54="","",IF(AND(T$4&gt;=$E54,T$4&lt;=$F54),IF($D54="Milestone","D",1),""))</f>
        <v/>
      </c>
      <c r="U54" s="43" t="str">
        <f aca="false">IF($E54="","",IF(AND(U$4&gt;=$E54,U$4&lt;=$F54),IF($D54="Milestone","D",1),""))</f>
        <v/>
      </c>
      <c r="V54" s="43" t="str">
        <f aca="false">IF($E54="","",IF(AND(V$4&gt;=$E54,V$4&lt;=$F54),IF($D54="Milestone","D",1),""))</f>
        <v/>
      </c>
      <c r="W54" s="43" t="str">
        <f aca="false">IF($E54="","",IF(AND(W$4&gt;=$E54,W$4&lt;=$F54),IF($D54="Milestone","D",1),""))</f>
        <v/>
      </c>
      <c r="X54" s="43" t="str">
        <f aca="false">IF($E54="","",IF(AND(X$4&gt;=$E54,X$4&lt;=$F54),IF($D54="Milestone","D",1),""))</f>
        <v/>
      </c>
      <c r="Y54" s="43" t="str">
        <f aca="false">IF($E54="","",IF(AND(Y$4&gt;=$E54,Y$4&lt;=$F54),IF($D54="Milestone","D",1),""))</f>
        <v/>
      </c>
      <c r="Z54" s="43" t="str">
        <f aca="false">IF($E54="","",IF(AND(Z$4&gt;=$E54,Z$4&lt;=$F54),IF($D54="Milestone","D",1),""))</f>
        <v/>
      </c>
      <c r="AA54" s="43" t="str">
        <f aca="false">IF($E54="","",IF(AND(AA$4&gt;=$E54,AA$4&lt;=$F54),IF($D54="Milestone","D",1),""))</f>
        <v/>
      </c>
      <c r="AB54" s="43" t="str">
        <f aca="false">IF($E54="","",IF(AND(AB$4&gt;=$E54,AB$4&lt;=$F54),IF($D54="Milestone","D",1),""))</f>
        <v/>
      </c>
      <c r="AC54" s="43" t="str">
        <f aca="false">IF($E54="","",IF(AND(AC$4&gt;=$E54,AC$4&lt;=$F54),IF($D54="Milestone","D",1),""))</f>
        <v/>
      </c>
      <c r="AD54" s="43" t="str">
        <f aca="false">IF($E54="","",IF(AND(AD$4&gt;=$E54,AD$4&lt;=$F54),IF($D54="Milestone","D",1),""))</f>
        <v/>
      </c>
      <c r="AE54" s="43" t="str">
        <f aca="false">IF($E54="","",IF(AND(AE$4&gt;=$E54,AE$4&lt;=$F54),IF($D54="Milestone","D",1),""))</f>
        <v/>
      </c>
      <c r="AF54" s="43" t="str">
        <f aca="false">IF($E54="","",IF(AND(AF$4&gt;=$E54,AF$4&lt;=$F54),IF($D54="Milestone","D",1),""))</f>
        <v/>
      </c>
      <c r="AG54" s="43" t="str">
        <f aca="false">IF($E54="","",IF(AND(AG$4&gt;=$E54,AG$4&lt;=$F54),IF($D54="Milestone","D",1),""))</f>
        <v/>
      </c>
      <c r="AH54" s="43" t="str">
        <f aca="false">IF($E54="","",IF(AND(AH$4&gt;=$E54,AH$4&lt;=$F54),IF($D54="Milestone","D",1),""))</f>
        <v/>
      </c>
    </row>
    <row r="55" customFormat="false" ht="15" hidden="false" customHeight="false" outlineLevel="0" collapsed="false">
      <c r="A55" s="40" t="str">
        <f aca="false">WBS!A52</f>
        <v>CD-04</v>
      </c>
      <c r="B55" s="41" t="str">
        <f aca="false">WBS!B52</f>
        <v>Ring-magnet carrier</v>
      </c>
      <c r="C55" s="40" t="str">
        <f aca="false">WBS!E52</f>
        <v>Suvanna</v>
      </c>
      <c r="D55" s="40" t="str">
        <f aca="false">WBS!D52</f>
        <v>CAD Design</v>
      </c>
      <c r="E55" s="42" t="n">
        <f aca="false">WBS!L52</f>
        <v>46230</v>
      </c>
      <c r="F55" s="42" t="n">
        <f aca="false">WBS!M52</f>
        <v>46231</v>
      </c>
      <c r="G55" s="43" t="str">
        <f aca="false">IF($E55="","",IF(AND(G$4&gt;=$E55,G$4&lt;=$F55),IF($D55="Milestone","D",1),""))</f>
        <v/>
      </c>
      <c r="H55" s="43" t="str">
        <f aca="false">IF($E55="","",IF(AND(H$4&gt;=$E55,H$4&lt;=$F55),IF($D55="Milestone","D",1),""))</f>
        <v/>
      </c>
      <c r="I55" s="43" t="str">
        <f aca="false">IF($E55="","",IF(AND(I$4&gt;=$E55,I$4&lt;=$F55),IF($D55="Milestone","D",1),""))</f>
        <v/>
      </c>
      <c r="J55" s="43" t="str">
        <f aca="false">IF($E55="","",IF(AND(J$4&gt;=$E55,J$4&lt;=$F55),IF($D55="Milestone","D",1),""))</f>
        <v/>
      </c>
      <c r="K55" s="43" t="n">
        <f aca="false">IF($E55="","",IF(AND(K$4&gt;=$E55,K$4&lt;=$F55),IF($D55="Milestone","D",1),""))</f>
        <v>1</v>
      </c>
      <c r="L55" s="43" t="n">
        <f aca="false">IF($E55="","",IF(AND(L$4&gt;=$E55,L$4&lt;=$F55),IF($D55="Milestone","D",1),""))</f>
        <v>1</v>
      </c>
      <c r="M55" s="43" t="str">
        <f aca="false">IF($E55="","",IF(AND(M$4&gt;=$E55,M$4&lt;=$F55),IF($D55="Milestone","D",1),""))</f>
        <v/>
      </c>
      <c r="N55" s="43" t="str">
        <f aca="false">IF($E55="","",IF(AND(N$4&gt;=$E55,N$4&lt;=$F55),IF($D55="Milestone","D",1),""))</f>
        <v/>
      </c>
      <c r="O55" s="43" t="str">
        <f aca="false">IF($E55="","",IF(AND(O$4&gt;=$E55,O$4&lt;=$F55),IF($D55="Milestone","D",1),""))</f>
        <v/>
      </c>
      <c r="P55" s="43" t="str">
        <f aca="false">IF($E55="","",IF(AND(P$4&gt;=$E55,P$4&lt;=$F55),IF($D55="Milestone","D",1),""))</f>
        <v/>
      </c>
      <c r="Q55" s="43" t="str">
        <f aca="false">IF($E55="","",IF(AND(Q$4&gt;=$E55,Q$4&lt;=$F55),IF($D55="Milestone","D",1),""))</f>
        <v/>
      </c>
      <c r="R55" s="43" t="str">
        <f aca="false">IF($E55="","",IF(AND(R$4&gt;=$E55,R$4&lt;=$F55),IF($D55="Milestone","D",1),""))</f>
        <v/>
      </c>
      <c r="S55" s="43" t="str">
        <f aca="false">IF($E55="","",IF(AND(S$4&gt;=$E55,S$4&lt;=$F55),IF($D55="Milestone","D",1),""))</f>
        <v/>
      </c>
      <c r="T55" s="43" t="str">
        <f aca="false">IF($E55="","",IF(AND(T$4&gt;=$E55,T$4&lt;=$F55),IF($D55="Milestone","D",1),""))</f>
        <v/>
      </c>
      <c r="U55" s="43" t="str">
        <f aca="false">IF($E55="","",IF(AND(U$4&gt;=$E55,U$4&lt;=$F55),IF($D55="Milestone","D",1),""))</f>
        <v/>
      </c>
      <c r="V55" s="43" t="str">
        <f aca="false">IF($E55="","",IF(AND(V$4&gt;=$E55,V$4&lt;=$F55),IF($D55="Milestone","D",1),""))</f>
        <v/>
      </c>
      <c r="W55" s="43" t="str">
        <f aca="false">IF($E55="","",IF(AND(W$4&gt;=$E55,W$4&lt;=$F55),IF($D55="Milestone","D",1),""))</f>
        <v/>
      </c>
      <c r="X55" s="43" t="str">
        <f aca="false">IF($E55="","",IF(AND(X$4&gt;=$E55,X$4&lt;=$F55),IF($D55="Milestone","D",1),""))</f>
        <v/>
      </c>
      <c r="Y55" s="43" t="str">
        <f aca="false">IF($E55="","",IF(AND(Y$4&gt;=$E55,Y$4&lt;=$F55),IF($D55="Milestone","D",1),""))</f>
        <v/>
      </c>
      <c r="Z55" s="43" t="str">
        <f aca="false">IF($E55="","",IF(AND(Z$4&gt;=$E55,Z$4&lt;=$F55),IF($D55="Milestone","D",1),""))</f>
        <v/>
      </c>
      <c r="AA55" s="43" t="str">
        <f aca="false">IF($E55="","",IF(AND(AA$4&gt;=$E55,AA$4&lt;=$F55),IF($D55="Milestone","D",1),""))</f>
        <v/>
      </c>
      <c r="AB55" s="43" t="str">
        <f aca="false">IF($E55="","",IF(AND(AB$4&gt;=$E55,AB$4&lt;=$F55),IF($D55="Milestone","D",1),""))</f>
        <v/>
      </c>
      <c r="AC55" s="43" t="str">
        <f aca="false">IF($E55="","",IF(AND(AC$4&gt;=$E55,AC$4&lt;=$F55),IF($D55="Milestone","D",1),""))</f>
        <v/>
      </c>
      <c r="AD55" s="43" t="str">
        <f aca="false">IF($E55="","",IF(AND(AD$4&gt;=$E55,AD$4&lt;=$F55),IF($D55="Milestone","D",1),""))</f>
        <v/>
      </c>
      <c r="AE55" s="43" t="str">
        <f aca="false">IF($E55="","",IF(AND(AE$4&gt;=$E55,AE$4&lt;=$F55),IF($D55="Milestone","D",1),""))</f>
        <v/>
      </c>
      <c r="AF55" s="43" t="str">
        <f aca="false">IF($E55="","",IF(AND(AF$4&gt;=$E55,AF$4&lt;=$F55),IF($D55="Milestone","D",1),""))</f>
        <v/>
      </c>
      <c r="AG55" s="43" t="str">
        <f aca="false">IF($E55="","",IF(AND(AG$4&gt;=$E55,AG$4&lt;=$F55),IF($D55="Milestone","D",1),""))</f>
        <v/>
      </c>
      <c r="AH55" s="43" t="str">
        <f aca="false">IF($E55="","",IF(AND(AH$4&gt;=$E55,AH$4&lt;=$F55),IF($D55="Milestone","D",1),""))</f>
        <v/>
      </c>
    </row>
    <row r="56" customFormat="false" ht="15" hidden="false" customHeight="false" outlineLevel="0" collapsed="false">
      <c r="A56" s="40" t="str">
        <f aca="false">WBS!A53</f>
        <v>CD-05</v>
      </c>
      <c r="B56" s="41" t="str">
        <f aca="false">WBS!B53</f>
        <v>MA600 encoder bracket</v>
      </c>
      <c r="C56" s="40" t="str">
        <f aca="false">WBS!E53</f>
        <v>Neisa</v>
      </c>
      <c r="D56" s="40" t="str">
        <f aca="false">WBS!D53</f>
        <v>CAD Design</v>
      </c>
      <c r="E56" s="42" t="n">
        <f aca="false">WBS!L53</f>
        <v>46231</v>
      </c>
      <c r="F56" s="42" t="n">
        <f aca="false">WBS!M53</f>
        <v>46232</v>
      </c>
      <c r="G56" s="43" t="str">
        <f aca="false">IF($E56="","",IF(AND(G$4&gt;=$E56,G$4&lt;=$F56),IF($D56="Milestone","D",1),""))</f>
        <v/>
      </c>
      <c r="H56" s="43" t="str">
        <f aca="false">IF($E56="","",IF(AND(H$4&gt;=$E56,H$4&lt;=$F56),IF($D56="Milestone","D",1),""))</f>
        <v/>
      </c>
      <c r="I56" s="43" t="str">
        <f aca="false">IF($E56="","",IF(AND(I$4&gt;=$E56,I$4&lt;=$F56),IF($D56="Milestone","D",1),""))</f>
        <v/>
      </c>
      <c r="J56" s="43" t="str">
        <f aca="false">IF($E56="","",IF(AND(J$4&gt;=$E56,J$4&lt;=$F56),IF($D56="Milestone","D",1),""))</f>
        <v/>
      </c>
      <c r="K56" s="43" t="str">
        <f aca="false">IF($E56="","",IF(AND(K$4&gt;=$E56,K$4&lt;=$F56),IF($D56="Milestone","D",1),""))</f>
        <v/>
      </c>
      <c r="L56" s="43" t="n">
        <f aca="false">IF($E56="","",IF(AND(L$4&gt;=$E56,L$4&lt;=$F56),IF($D56="Milestone","D",1),""))</f>
        <v>1</v>
      </c>
      <c r="M56" s="43" t="n">
        <f aca="false">IF($E56="","",IF(AND(M$4&gt;=$E56,M$4&lt;=$F56),IF($D56="Milestone","D",1),""))</f>
        <v>1</v>
      </c>
      <c r="N56" s="43" t="str">
        <f aca="false">IF($E56="","",IF(AND(N$4&gt;=$E56,N$4&lt;=$F56),IF($D56="Milestone","D",1),""))</f>
        <v/>
      </c>
      <c r="O56" s="43" t="str">
        <f aca="false">IF($E56="","",IF(AND(O$4&gt;=$E56,O$4&lt;=$F56),IF($D56="Milestone","D",1),""))</f>
        <v/>
      </c>
      <c r="P56" s="43" t="str">
        <f aca="false">IF($E56="","",IF(AND(P$4&gt;=$E56,P$4&lt;=$F56),IF($D56="Milestone","D",1),""))</f>
        <v/>
      </c>
      <c r="Q56" s="43" t="str">
        <f aca="false">IF($E56="","",IF(AND(Q$4&gt;=$E56,Q$4&lt;=$F56),IF($D56="Milestone","D",1),""))</f>
        <v/>
      </c>
      <c r="R56" s="43" t="str">
        <f aca="false">IF($E56="","",IF(AND(R$4&gt;=$E56,R$4&lt;=$F56),IF($D56="Milestone","D",1),""))</f>
        <v/>
      </c>
      <c r="S56" s="43" t="str">
        <f aca="false">IF($E56="","",IF(AND(S$4&gt;=$E56,S$4&lt;=$F56),IF($D56="Milestone","D",1),""))</f>
        <v/>
      </c>
      <c r="T56" s="43" t="str">
        <f aca="false">IF($E56="","",IF(AND(T$4&gt;=$E56,T$4&lt;=$F56),IF($D56="Milestone","D",1),""))</f>
        <v/>
      </c>
      <c r="U56" s="43" t="str">
        <f aca="false">IF($E56="","",IF(AND(U$4&gt;=$E56,U$4&lt;=$F56),IF($D56="Milestone","D",1),""))</f>
        <v/>
      </c>
      <c r="V56" s="43" t="str">
        <f aca="false">IF($E56="","",IF(AND(V$4&gt;=$E56,V$4&lt;=$F56),IF($D56="Milestone","D",1),""))</f>
        <v/>
      </c>
      <c r="W56" s="43" t="str">
        <f aca="false">IF($E56="","",IF(AND(W$4&gt;=$E56,W$4&lt;=$F56),IF($D56="Milestone","D",1),""))</f>
        <v/>
      </c>
      <c r="X56" s="43" t="str">
        <f aca="false">IF($E56="","",IF(AND(X$4&gt;=$E56,X$4&lt;=$F56),IF($D56="Milestone","D",1),""))</f>
        <v/>
      </c>
      <c r="Y56" s="43" t="str">
        <f aca="false">IF($E56="","",IF(AND(Y$4&gt;=$E56,Y$4&lt;=$F56),IF($D56="Milestone","D",1),""))</f>
        <v/>
      </c>
      <c r="Z56" s="43" t="str">
        <f aca="false">IF($E56="","",IF(AND(Z$4&gt;=$E56,Z$4&lt;=$F56),IF($D56="Milestone","D",1),""))</f>
        <v/>
      </c>
      <c r="AA56" s="43" t="str">
        <f aca="false">IF($E56="","",IF(AND(AA$4&gt;=$E56,AA$4&lt;=$F56),IF($D56="Milestone","D",1),""))</f>
        <v/>
      </c>
      <c r="AB56" s="43" t="str">
        <f aca="false">IF($E56="","",IF(AND(AB$4&gt;=$E56,AB$4&lt;=$F56),IF($D56="Milestone","D",1),""))</f>
        <v/>
      </c>
      <c r="AC56" s="43" t="str">
        <f aca="false">IF($E56="","",IF(AND(AC$4&gt;=$E56,AC$4&lt;=$F56),IF($D56="Milestone","D",1),""))</f>
        <v/>
      </c>
      <c r="AD56" s="43" t="str">
        <f aca="false">IF($E56="","",IF(AND(AD$4&gt;=$E56,AD$4&lt;=$F56),IF($D56="Milestone","D",1),""))</f>
        <v/>
      </c>
      <c r="AE56" s="43" t="str">
        <f aca="false">IF($E56="","",IF(AND(AE$4&gt;=$E56,AE$4&lt;=$F56),IF($D56="Milestone","D",1),""))</f>
        <v/>
      </c>
      <c r="AF56" s="43" t="str">
        <f aca="false">IF($E56="","",IF(AND(AF$4&gt;=$E56,AF$4&lt;=$F56),IF($D56="Milestone","D",1),""))</f>
        <v/>
      </c>
      <c r="AG56" s="43" t="str">
        <f aca="false">IF($E56="","",IF(AND(AG$4&gt;=$E56,AG$4&lt;=$F56),IF($D56="Milestone","D",1),""))</f>
        <v/>
      </c>
      <c r="AH56" s="43" t="str">
        <f aca="false">IF($E56="","",IF(AND(AH$4&gt;=$E56,AH$4&lt;=$F56),IF($D56="Milestone","D",1),""))</f>
        <v/>
      </c>
    </row>
    <row r="57" customFormat="false" ht="15" hidden="false" customHeight="false" outlineLevel="0" collapsed="false">
      <c r="A57" s="40" t="str">
        <f aca="false">WBS!A54</f>
        <v>CD-06</v>
      </c>
      <c r="B57" s="41" t="str">
        <f aca="false">WBS!B54</f>
        <v>1-DoF rig CAD</v>
      </c>
      <c r="C57" s="40" t="str">
        <f aca="false">WBS!E54</f>
        <v>Suvanna</v>
      </c>
      <c r="D57" s="40" t="str">
        <f aca="false">WBS!D54</f>
        <v>CAD Design</v>
      </c>
      <c r="E57" s="42" t="n">
        <f aca="false">WBS!L54</f>
        <v>46230</v>
      </c>
      <c r="F57" s="42" t="n">
        <f aca="false">WBS!M54</f>
        <v>46231</v>
      </c>
      <c r="G57" s="43" t="str">
        <f aca="false">IF($E57="","",IF(AND(G$4&gt;=$E57,G$4&lt;=$F57),IF($D57="Milestone","D",1),""))</f>
        <v/>
      </c>
      <c r="H57" s="43" t="str">
        <f aca="false">IF($E57="","",IF(AND(H$4&gt;=$E57,H$4&lt;=$F57),IF($D57="Milestone","D",1),""))</f>
        <v/>
      </c>
      <c r="I57" s="43" t="str">
        <f aca="false">IF($E57="","",IF(AND(I$4&gt;=$E57,I$4&lt;=$F57),IF($D57="Milestone","D",1),""))</f>
        <v/>
      </c>
      <c r="J57" s="43" t="str">
        <f aca="false">IF($E57="","",IF(AND(J$4&gt;=$E57,J$4&lt;=$F57),IF($D57="Milestone","D",1),""))</f>
        <v/>
      </c>
      <c r="K57" s="43" t="n">
        <f aca="false">IF($E57="","",IF(AND(K$4&gt;=$E57,K$4&lt;=$F57),IF($D57="Milestone","D",1),""))</f>
        <v>1</v>
      </c>
      <c r="L57" s="43" t="n">
        <f aca="false">IF($E57="","",IF(AND(L$4&gt;=$E57,L$4&lt;=$F57),IF($D57="Milestone","D",1),""))</f>
        <v>1</v>
      </c>
      <c r="M57" s="43" t="str">
        <f aca="false">IF($E57="","",IF(AND(M$4&gt;=$E57,M$4&lt;=$F57),IF($D57="Milestone","D",1),""))</f>
        <v/>
      </c>
      <c r="N57" s="43" t="str">
        <f aca="false">IF($E57="","",IF(AND(N$4&gt;=$E57,N$4&lt;=$F57),IF($D57="Milestone","D",1),""))</f>
        <v/>
      </c>
      <c r="O57" s="43" t="str">
        <f aca="false">IF($E57="","",IF(AND(O$4&gt;=$E57,O$4&lt;=$F57),IF($D57="Milestone","D",1),""))</f>
        <v/>
      </c>
      <c r="P57" s="43" t="str">
        <f aca="false">IF($E57="","",IF(AND(P$4&gt;=$E57,P$4&lt;=$F57),IF($D57="Milestone","D",1),""))</f>
        <v/>
      </c>
      <c r="Q57" s="43" t="str">
        <f aca="false">IF($E57="","",IF(AND(Q$4&gt;=$E57,Q$4&lt;=$F57),IF($D57="Milestone","D",1),""))</f>
        <v/>
      </c>
      <c r="R57" s="43" t="str">
        <f aca="false">IF($E57="","",IF(AND(R$4&gt;=$E57,R$4&lt;=$F57),IF($D57="Milestone","D",1),""))</f>
        <v/>
      </c>
      <c r="S57" s="43" t="str">
        <f aca="false">IF($E57="","",IF(AND(S$4&gt;=$E57,S$4&lt;=$F57),IF($D57="Milestone","D",1),""))</f>
        <v/>
      </c>
      <c r="T57" s="43" t="str">
        <f aca="false">IF($E57="","",IF(AND(T$4&gt;=$E57,T$4&lt;=$F57),IF($D57="Milestone","D",1),""))</f>
        <v/>
      </c>
      <c r="U57" s="43" t="str">
        <f aca="false">IF($E57="","",IF(AND(U$4&gt;=$E57,U$4&lt;=$F57),IF($D57="Milestone","D",1),""))</f>
        <v/>
      </c>
      <c r="V57" s="43" t="str">
        <f aca="false">IF($E57="","",IF(AND(V$4&gt;=$E57,V$4&lt;=$F57),IF($D57="Milestone","D",1),""))</f>
        <v/>
      </c>
      <c r="W57" s="43" t="str">
        <f aca="false">IF($E57="","",IF(AND(W$4&gt;=$E57,W$4&lt;=$F57),IF($D57="Milestone","D",1),""))</f>
        <v/>
      </c>
      <c r="X57" s="43" t="str">
        <f aca="false">IF($E57="","",IF(AND(X$4&gt;=$E57,X$4&lt;=$F57),IF($D57="Milestone","D",1),""))</f>
        <v/>
      </c>
      <c r="Y57" s="43" t="str">
        <f aca="false">IF($E57="","",IF(AND(Y$4&gt;=$E57,Y$4&lt;=$F57),IF($D57="Milestone","D",1),""))</f>
        <v/>
      </c>
      <c r="Z57" s="43" t="str">
        <f aca="false">IF($E57="","",IF(AND(Z$4&gt;=$E57,Z$4&lt;=$F57),IF($D57="Milestone","D",1),""))</f>
        <v/>
      </c>
      <c r="AA57" s="43" t="str">
        <f aca="false">IF($E57="","",IF(AND(AA$4&gt;=$E57,AA$4&lt;=$F57),IF($D57="Milestone","D",1),""))</f>
        <v/>
      </c>
      <c r="AB57" s="43" t="str">
        <f aca="false">IF($E57="","",IF(AND(AB$4&gt;=$E57,AB$4&lt;=$F57),IF($D57="Milestone","D",1),""))</f>
        <v/>
      </c>
      <c r="AC57" s="43" t="str">
        <f aca="false">IF($E57="","",IF(AND(AC$4&gt;=$E57,AC$4&lt;=$F57),IF($D57="Milestone","D",1),""))</f>
        <v/>
      </c>
      <c r="AD57" s="43" t="str">
        <f aca="false">IF($E57="","",IF(AND(AD$4&gt;=$E57,AD$4&lt;=$F57),IF($D57="Milestone","D",1),""))</f>
        <v/>
      </c>
      <c r="AE57" s="43" t="str">
        <f aca="false">IF($E57="","",IF(AND(AE$4&gt;=$E57,AE$4&lt;=$F57),IF($D57="Milestone","D",1),""))</f>
        <v/>
      </c>
      <c r="AF57" s="43" t="str">
        <f aca="false">IF($E57="","",IF(AND(AF$4&gt;=$E57,AF$4&lt;=$F57),IF($D57="Milestone","D",1),""))</f>
        <v/>
      </c>
      <c r="AG57" s="43" t="str">
        <f aca="false">IF($E57="","",IF(AND(AG$4&gt;=$E57,AG$4&lt;=$F57),IF($D57="Milestone","D",1),""))</f>
        <v/>
      </c>
      <c r="AH57" s="43" t="str">
        <f aca="false">IF($E57="","",IF(AND(AH$4&gt;=$E57,AH$4&lt;=$F57),IF($D57="Milestone","D",1),""))</f>
        <v/>
      </c>
    </row>
    <row r="58" customFormat="false" ht="15" hidden="false" customHeight="false" outlineLevel="0" collapsed="false">
      <c r="A58" s="40" t="str">
        <f aca="false">WBS!A55</f>
        <v>CD-07</v>
      </c>
      <c r="B58" s="41" t="str">
        <f aca="false">WBS!B55</f>
        <v>Tooling &amp; jigs CAD</v>
      </c>
      <c r="C58" s="40" t="str">
        <f aca="false">WBS!E55</f>
        <v>Neisa</v>
      </c>
      <c r="D58" s="40" t="str">
        <f aca="false">WBS!D55</f>
        <v>CAD Design</v>
      </c>
      <c r="E58" s="42" t="n">
        <f aca="false">WBS!L55</f>
        <v>46228</v>
      </c>
      <c r="F58" s="42" t="n">
        <f aca="false">WBS!M55</f>
        <v>46228</v>
      </c>
      <c r="G58" s="43" t="str">
        <f aca="false">IF($E58="","",IF(AND(G$4&gt;=$E58,G$4&lt;=$F58),IF($D58="Milestone","D",1),""))</f>
        <v/>
      </c>
      <c r="H58" s="43" t="str">
        <f aca="false">IF($E58="","",IF(AND(H$4&gt;=$E58,H$4&lt;=$F58),IF($D58="Milestone","D",1),""))</f>
        <v/>
      </c>
      <c r="I58" s="43" t="n">
        <f aca="false">IF($E58="","",IF(AND(I$4&gt;=$E58,I$4&lt;=$F58),IF($D58="Milestone","D",1),""))</f>
        <v>1</v>
      </c>
      <c r="J58" s="43" t="str">
        <f aca="false">IF($E58="","",IF(AND(J$4&gt;=$E58,J$4&lt;=$F58),IF($D58="Milestone","D",1),""))</f>
        <v/>
      </c>
      <c r="K58" s="43" t="str">
        <f aca="false">IF($E58="","",IF(AND(K$4&gt;=$E58,K$4&lt;=$F58),IF($D58="Milestone","D",1),""))</f>
        <v/>
      </c>
      <c r="L58" s="43" t="str">
        <f aca="false">IF($E58="","",IF(AND(L$4&gt;=$E58,L$4&lt;=$F58),IF($D58="Milestone","D",1),""))</f>
        <v/>
      </c>
      <c r="M58" s="43" t="str">
        <f aca="false">IF($E58="","",IF(AND(M$4&gt;=$E58,M$4&lt;=$F58),IF($D58="Milestone","D",1),""))</f>
        <v/>
      </c>
      <c r="N58" s="43" t="str">
        <f aca="false">IF($E58="","",IF(AND(N$4&gt;=$E58,N$4&lt;=$F58),IF($D58="Milestone","D",1),""))</f>
        <v/>
      </c>
      <c r="O58" s="43" t="str">
        <f aca="false">IF($E58="","",IF(AND(O$4&gt;=$E58,O$4&lt;=$F58),IF($D58="Milestone","D",1),""))</f>
        <v/>
      </c>
      <c r="P58" s="43" t="str">
        <f aca="false">IF($E58="","",IF(AND(P$4&gt;=$E58,P$4&lt;=$F58),IF($D58="Milestone","D",1),""))</f>
        <v/>
      </c>
      <c r="Q58" s="43" t="str">
        <f aca="false">IF($E58="","",IF(AND(Q$4&gt;=$E58,Q$4&lt;=$F58),IF($D58="Milestone","D",1),""))</f>
        <v/>
      </c>
      <c r="R58" s="43" t="str">
        <f aca="false">IF($E58="","",IF(AND(R$4&gt;=$E58,R$4&lt;=$F58),IF($D58="Milestone","D",1),""))</f>
        <v/>
      </c>
      <c r="S58" s="43" t="str">
        <f aca="false">IF($E58="","",IF(AND(S$4&gt;=$E58,S$4&lt;=$F58),IF($D58="Milestone","D",1),""))</f>
        <v/>
      </c>
      <c r="T58" s="43" t="str">
        <f aca="false">IF($E58="","",IF(AND(T$4&gt;=$E58,T$4&lt;=$F58),IF($D58="Milestone","D",1),""))</f>
        <v/>
      </c>
      <c r="U58" s="43" t="str">
        <f aca="false">IF($E58="","",IF(AND(U$4&gt;=$E58,U$4&lt;=$F58),IF($D58="Milestone","D",1),""))</f>
        <v/>
      </c>
      <c r="V58" s="43" t="str">
        <f aca="false">IF($E58="","",IF(AND(V$4&gt;=$E58,V$4&lt;=$F58),IF($D58="Milestone","D",1),""))</f>
        <v/>
      </c>
      <c r="W58" s="43" t="str">
        <f aca="false">IF($E58="","",IF(AND(W$4&gt;=$E58,W$4&lt;=$F58),IF($D58="Milestone","D",1),""))</f>
        <v/>
      </c>
      <c r="X58" s="43" t="str">
        <f aca="false">IF($E58="","",IF(AND(X$4&gt;=$E58,X$4&lt;=$F58),IF($D58="Milestone","D",1),""))</f>
        <v/>
      </c>
      <c r="Y58" s="43" t="str">
        <f aca="false">IF($E58="","",IF(AND(Y$4&gt;=$E58,Y$4&lt;=$F58),IF($D58="Milestone","D",1),""))</f>
        <v/>
      </c>
      <c r="Z58" s="43" t="str">
        <f aca="false">IF($E58="","",IF(AND(Z$4&gt;=$E58,Z$4&lt;=$F58),IF($D58="Milestone","D",1),""))</f>
        <v/>
      </c>
      <c r="AA58" s="43" t="str">
        <f aca="false">IF($E58="","",IF(AND(AA$4&gt;=$E58,AA$4&lt;=$F58),IF($D58="Milestone","D",1),""))</f>
        <v/>
      </c>
      <c r="AB58" s="43" t="str">
        <f aca="false">IF($E58="","",IF(AND(AB$4&gt;=$E58,AB$4&lt;=$F58),IF($D58="Milestone","D",1),""))</f>
        <v/>
      </c>
      <c r="AC58" s="43" t="str">
        <f aca="false">IF($E58="","",IF(AND(AC$4&gt;=$E58,AC$4&lt;=$F58),IF($D58="Milestone","D",1),""))</f>
        <v/>
      </c>
      <c r="AD58" s="43" t="str">
        <f aca="false">IF($E58="","",IF(AND(AD$4&gt;=$E58,AD$4&lt;=$F58),IF($D58="Milestone","D",1),""))</f>
        <v/>
      </c>
      <c r="AE58" s="43" t="str">
        <f aca="false">IF($E58="","",IF(AND(AE$4&gt;=$E58,AE$4&lt;=$F58),IF($D58="Milestone","D",1),""))</f>
        <v/>
      </c>
      <c r="AF58" s="43" t="str">
        <f aca="false">IF($E58="","",IF(AND(AF$4&gt;=$E58,AF$4&lt;=$F58),IF($D58="Milestone","D",1),""))</f>
        <v/>
      </c>
      <c r="AG58" s="43" t="str">
        <f aca="false">IF($E58="","",IF(AND(AG$4&gt;=$E58,AG$4&lt;=$F58),IF($D58="Milestone","D",1),""))</f>
        <v/>
      </c>
      <c r="AH58" s="43" t="str">
        <f aca="false">IF($E58="","",IF(AND(AH$4&gt;=$E58,AH$4&lt;=$F58),IF($D58="Milestone","D",1),""))</f>
        <v/>
      </c>
    </row>
    <row r="59" customFormat="false" ht="15" hidden="false" customHeight="false" outlineLevel="0" collapsed="false">
      <c r="A59" s="40" t="str">
        <f aca="false">WBS!A56</f>
        <v>CD-08</v>
      </c>
      <c r="B59" s="41" t="str">
        <f aca="false">WBS!B56</f>
        <v>moteus board tray</v>
      </c>
      <c r="C59" s="40" t="str">
        <f aca="false">WBS!E56</f>
        <v>Neisa</v>
      </c>
      <c r="D59" s="40" t="str">
        <f aca="false">WBS!D56</f>
        <v>CAD Design</v>
      </c>
      <c r="E59" s="42" t="n">
        <f aca="false">WBS!L56</f>
        <v>46235</v>
      </c>
      <c r="F59" s="42" t="n">
        <f aca="false">WBS!M56</f>
        <v>46235</v>
      </c>
      <c r="G59" s="43" t="str">
        <f aca="false">IF($E59="","",IF(AND(G$4&gt;=$E59,G$4&lt;=$F59),IF($D59="Milestone","D",1),""))</f>
        <v/>
      </c>
      <c r="H59" s="43" t="str">
        <f aca="false">IF($E59="","",IF(AND(H$4&gt;=$E59,H$4&lt;=$F59),IF($D59="Milestone","D",1),""))</f>
        <v/>
      </c>
      <c r="I59" s="43" t="str">
        <f aca="false">IF($E59="","",IF(AND(I$4&gt;=$E59,I$4&lt;=$F59),IF($D59="Milestone","D",1),""))</f>
        <v/>
      </c>
      <c r="J59" s="43" t="str">
        <f aca="false">IF($E59="","",IF(AND(J$4&gt;=$E59,J$4&lt;=$F59),IF($D59="Milestone","D",1),""))</f>
        <v/>
      </c>
      <c r="K59" s="43" t="str">
        <f aca="false">IF($E59="","",IF(AND(K$4&gt;=$E59,K$4&lt;=$F59),IF($D59="Milestone","D",1),""))</f>
        <v/>
      </c>
      <c r="L59" s="43" t="str">
        <f aca="false">IF($E59="","",IF(AND(L$4&gt;=$E59,L$4&lt;=$F59),IF($D59="Milestone","D",1),""))</f>
        <v/>
      </c>
      <c r="M59" s="43" t="str">
        <f aca="false">IF($E59="","",IF(AND(M$4&gt;=$E59,M$4&lt;=$F59),IF($D59="Milestone","D",1),""))</f>
        <v/>
      </c>
      <c r="N59" s="43" t="str">
        <f aca="false">IF($E59="","",IF(AND(N$4&gt;=$E59,N$4&lt;=$F59),IF($D59="Milestone","D",1),""))</f>
        <v/>
      </c>
      <c r="O59" s="43" t="str">
        <f aca="false">IF($E59="","",IF(AND(O$4&gt;=$E59,O$4&lt;=$F59),IF($D59="Milestone","D",1),""))</f>
        <v/>
      </c>
      <c r="P59" s="43" t="n">
        <f aca="false">IF($E59="","",IF(AND(P$4&gt;=$E59,P$4&lt;=$F59),IF($D59="Milestone","D",1),""))</f>
        <v>1</v>
      </c>
      <c r="Q59" s="43" t="str">
        <f aca="false">IF($E59="","",IF(AND(Q$4&gt;=$E59,Q$4&lt;=$F59),IF($D59="Milestone","D",1),""))</f>
        <v/>
      </c>
      <c r="R59" s="43" t="str">
        <f aca="false">IF($E59="","",IF(AND(R$4&gt;=$E59,R$4&lt;=$F59),IF($D59="Milestone","D",1),""))</f>
        <v/>
      </c>
      <c r="S59" s="43" t="str">
        <f aca="false">IF($E59="","",IF(AND(S$4&gt;=$E59,S$4&lt;=$F59),IF($D59="Milestone","D",1),""))</f>
        <v/>
      </c>
      <c r="T59" s="43" t="str">
        <f aca="false">IF($E59="","",IF(AND(T$4&gt;=$E59,T$4&lt;=$F59),IF($D59="Milestone","D",1),""))</f>
        <v/>
      </c>
      <c r="U59" s="43" t="str">
        <f aca="false">IF($E59="","",IF(AND(U$4&gt;=$E59,U$4&lt;=$F59),IF($D59="Milestone","D",1),""))</f>
        <v/>
      </c>
      <c r="V59" s="43" t="str">
        <f aca="false">IF($E59="","",IF(AND(V$4&gt;=$E59,V$4&lt;=$F59),IF($D59="Milestone","D",1),""))</f>
        <v/>
      </c>
      <c r="W59" s="43" t="str">
        <f aca="false">IF($E59="","",IF(AND(W$4&gt;=$E59,W$4&lt;=$F59),IF($D59="Milestone","D",1),""))</f>
        <v/>
      </c>
      <c r="X59" s="43" t="str">
        <f aca="false">IF($E59="","",IF(AND(X$4&gt;=$E59,X$4&lt;=$F59),IF($D59="Milestone","D",1),""))</f>
        <v/>
      </c>
      <c r="Y59" s="43" t="str">
        <f aca="false">IF($E59="","",IF(AND(Y$4&gt;=$E59,Y$4&lt;=$F59),IF($D59="Milestone","D",1),""))</f>
        <v/>
      </c>
      <c r="Z59" s="43" t="str">
        <f aca="false">IF($E59="","",IF(AND(Z$4&gt;=$E59,Z$4&lt;=$F59),IF($D59="Milestone","D",1),""))</f>
        <v/>
      </c>
      <c r="AA59" s="43" t="str">
        <f aca="false">IF($E59="","",IF(AND(AA$4&gt;=$E59,AA$4&lt;=$F59),IF($D59="Milestone","D",1),""))</f>
        <v/>
      </c>
      <c r="AB59" s="43" t="str">
        <f aca="false">IF($E59="","",IF(AND(AB$4&gt;=$E59,AB$4&lt;=$F59),IF($D59="Milestone","D",1),""))</f>
        <v/>
      </c>
      <c r="AC59" s="43" t="str">
        <f aca="false">IF($E59="","",IF(AND(AC$4&gt;=$E59,AC$4&lt;=$F59),IF($D59="Milestone","D",1),""))</f>
        <v/>
      </c>
      <c r="AD59" s="43" t="str">
        <f aca="false">IF($E59="","",IF(AND(AD$4&gt;=$E59,AD$4&lt;=$F59),IF($D59="Milestone","D",1),""))</f>
        <v/>
      </c>
      <c r="AE59" s="43" t="str">
        <f aca="false">IF($E59="","",IF(AND(AE$4&gt;=$E59,AE$4&lt;=$F59),IF($D59="Milestone","D",1),""))</f>
        <v/>
      </c>
      <c r="AF59" s="43" t="str">
        <f aca="false">IF($E59="","",IF(AND(AF$4&gt;=$E59,AF$4&lt;=$F59),IF($D59="Milestone","D",1),""))</f>
        <v/>
      </c>
      <c r="AG59" s="43" t="str">
        <f aca="false">IF($E59="","",IF(AND(AG$4&gt;=$E59,AG$4&lt;=$F59),IF($D59="Milestone","D",1),""))</f>
        <v/>
      </c>
      <c r="AH59" s="43" t="str">
        <f aca="false">IF($E59="","",IF(AND(AH$4&gt;=$E59,AH$4&lt;=$F59),IF($D59="Milestone","D",1),""))</f>
        <v/>
      </c>
    </row>
    <row r="60" customFormat="false" ht="15" hidden="false" customHeight="false" outlineLevel="0" collapsed="false">
      <c r="A60" s="40" t="str">
        <f aca="false">WBS!A57</f>
        <v>CD-09</v>
      </c>
      <c r="B60" s="41" t="str">
        <f aca="false">WBS!B57</f>
        <v>Avionics tray</v>
      </c>
      <c r="C60" s="40" t="str">
        <f aca="false">WBS!E57</f>
        <v>Neisa</v>
      </c>
      <c r="D60" s="40" t="str">
        <f aca="false">WBS!D57</f>
        <v>CAD Design</v>
      </c>
      <c r="E60" s="42" t="n">
        <f aca="false">WBS!L57</f>
        <v>46235</v>
      </c>
      <c r="F60" s="42" t="n">
        <f aca="false">WBS!M57</f>
        <v>46235</v>
      </c>
      <c r="G60" s="43" t="str">
        <f aca="false">IF($E60="","",IF(AND(G$4&gt;=$E60,G$4&lt;=$F60),IF($D60="Milestone","D",1),""))</f>
        <v/>
      </c>
      <c r="H60" s="43" t="str">
        <f aca="false">IF($E60="","",IF(AND(H$4&gt;=$E60,H$4&lt;=$F60),IF($D60="Milestone","D",1),""))</f>
        <v/>
      </c>
      <c r="I60" s="43" t="str">
        <f aca="false">IF($E60="","",IF(AND(I$4&gt;=$E60,I$4&lt;=$F60),IF($D60="Milestone","D",1),""))</f>
        <v/>
      </c>
      <c r="J60" s="43" t="str">
        <f aca="false">IF($E60="","",IF(AND(J$4&gt;=$E60,J$4&lt;=$F60),IF($D60="Milestone","D",1),""))</f>
        <v/>
      </c>
      <c r="K60" s="43" t="str">
        <f aca="false">IF($E60="","",IF(AND(K$4&gt;=$E60,K$4&lt;=$F60),IF($D60="Milestone","D",1),""))</f>
        <v/>
      </c>
      <c r="L60" s="43" t="str">
        <f aca="false">IF($E60="","",IF(AND(L$4&gt;=$E60,L$4&lt;=$F60),IF($D60="Milestone","D",1),""))</f>
        <v/>
      </c>
      <c r="M60" s="43" t="str">
        <f aca="false">IF($E60="","",IF(AND(M$4&gt;=$E60,M$4&lt;=$F60),IF($D60="Milestone","D",1),""))</f>
        <v/>
      </c>
      <c r="N60" s="43" t="str">
        <f aca="false">IF($E60="","",IF(AND(N$4&gt;=$E60,N$4&lt;=$F60),IF($D60="Milestone","D",1),""))</f>
        <v/>
      </c>
      <c r="O60" s="43" t="str">
        <f aca="false">IF($E60="","",IF(AND(O$4&gt;=$E60,O$4&lt;=$F60),IF($D60="Milestone","D",1),""))</f>
        <v/>
      </c>
      <c r="P60" s="43" t="n">
        <f aca="false">IF($E60="","",IF(AND(P$4&gt;=$E60,P$4&lt;=$F60),IF($D60="Milestone","D",1),""))</f>
        <v>1</v>
      </c>
      <c r="Q60" s="43" t="str">
        <f aca="false">IF($E60="","",IF(AND(Q$4&gt;=$E60,Q$4&lt;=$F60),IF($D60="Milestone","D",1),""))</f>
        <v/>
      </c>
      <c r="R60" s="43" t="str">
        <f aca="false">IF($E60="","",IF(AND(R$4&gt;=$E60,R$4&lt;=$F60),IF($D60="Milestone","D",1),""))</f>
        <v/>
      </c>
      <c r="S60" s="43" t="str">
        <f aca="false">IF($E60="","",IF(AND(S$4&gt;=$E60,S$4&lt;=$F60),IF($D60="Milestone","D",1),""))</f>
        <v/>
      </c>
      <c r="T60" s="43" t="str">
        <f aca="false">IF($E60="","",IF(AND(T$4&gt;=$E60,T$4&lt;=$F60),IF($D60="Milestone","D",1),""))</f>
        <v/>
      </c>
      <c r="U60" s="43" t="str">
        <f aca="false">IF($E60="","",IF(AND(U$4&gt;=$E60,U$4&lt;=$F60),IF($D60="Milestone","D",1),""))</f>
        <v/>
      </c>
      <c r="V60" s="43" t="str">
        <f aca="false">IF($E60="","",IF(AND(V$4&gt;=$E60,V$4&lt;=$F60),IF($D60="Milestone","D",1),""))</f>
        <v/>
      </c>
      <c r="W60" s="43" t="str">
        <f aca="false">IF($E60="","",IF(AND(W$4&gt;=$E60,W$4&lt;=$F60),IF($D60="Milestone","D",1),""))</f>
        <v/>
      </c>
      <c r="X60" s="43" t="str">
        <f aca="false">IF($E60="","",IF(AND(X$4&gt;=$E60,X$4&lt;=$F60),IF($D60="Milestone","D",1),""))</f>
        <v/>
      </c>
      <c r="Y60" s="43" t="str">
        <f aca="false">IF($E60="","",IF(AND(Y$4&gt;=$E60,Y$4&lt;=$F60),IF($D60="Milestone","D",1),""))</f>
        <v/>
      </c>
      <c r="Z60" s="43" t="str">
        <f aca="false">IF($E60="","",IF(AND(Z$4&gt;=$E60,Z$4&lt;=$F60),IF($D60="Milestone","D",1),""))</f>
        <v/>
      </c>
      <c r="AA60" s="43" t="str">
        <f aca="false">IF($E60="","",IF(AND(AA$4&gt;=$E60,AA$4&lt;=$F60),IF($D60="Milestone","D",1),""))</f>
        <v/>
      </c>
      <c r="AB60" s="43" t="str">
        <f aca="false">IF($E60="","",IF(AND(AB$4&gt;=$E60,AB$4&lt;=$F60),IF($D60="Milestone","D",1),""))</f>
        <v/>
      </c>
      <c r="AC60" s="43" t="str">
        <f aca="false">IF($E60="","",IF(AND(AC$4&gt;=$E60,AC$4&lt;=$F60),IF($D60="Milestone","D",1),""))</f>
        <v/>
      </c>
      <c r="AD60" s="43" t="str">
        <f aca="false">IF($E60="","",IF(AND(AD$4&gt;=$E60,AD$4&lt;=$F60),IF($D60="Milestone","D",1),""))</f>
        <v/>
      </c>
      <c r="AE60" s="43" t="str">
        <f aca="false">IF($E60="","",IF(AND(AE$4&gt;=$E60,AE$4&lt;=$F60),IF($D60="Milestone","D",1),""))</f>
        <v/>
      </c>
      <c r="AF60" s="43" t="str">
        <f aca="false">IF($E60="","",IF(AND(AF$4&gt;=$E60,AF$4&lt;=$F60),IF($D60="Milestone","D",1),""))</f>
        <v/>
      </c>
      <c r="AG60" s="43" t="str">
        <f aca="false">IF($E60="","",IF(AND(AG$4&gt;=$E60,AG$4&lt;=$F60),IF($D60="Milestone","D",1),""))</f>
        <v/>
      </c>
      <c r="AH60" s="43" t="str">
        <f aca="false">IF($E60="","",IF(AND(AH$4&gt;=$E60,AH$4&lt;=$F60),IF($D60="Milestone","D",1),""))</f>
        <v/>
      </c>
    </row>
    <row r="61" customFormat="false" ht="15" hidden="false" customHeight="false" outlineLevel="0" collapsed="false">
      <c r="A61" s="40" t="str">
        <f aca="false">WBS!A58</f>
        <v>CD-10</v>
      </c>
      <c r="B61" s="41" t="str">
        <f aca="false">WBS!B58</f>
        <v>Perfboard mount</v>
      </c>
      <c r="C61" s="40" t="str">
        <f aca="false">WBS!E58</f>
        <v>Neisa</v>
      </c>
      <c r="D61" s="40" t="str">
        <f aca="false">WBS!D58</f>
        <v>CAD Design</v>
      </c>
      <c r="E61" s="42" t="n">
        <f aca="false">WBS!L58</f>
        <v>46236</v>
      </c>
      <c r="F61" s="42" t="n">
        <f aca="false">WBS!M58</f>
        <v>46236</v>
      </c>
      <c r="G61" s="43" t="str">
        <f aca="false">IF($E61="","",IF(AND(G$4&gt;=$E61,G$4&lt;=$F61),IF($D61="Milestone","D",1),""))</f>
        <v/>
      </c>
      <c r="H61" s="43" t="str">
        <f aca="false">IF($E61="","",IF(AND(H$4&gt;=$E61,H$4&lt;=$F61),IF($D61="Milestone","D",1),""))</f>
        <v/>
      </c>
      <c r="I61" s="43" t="str">
        <f aca="false">IF($E61="","",IF(AND(I$4&gt;=$E61,I$4&lt;=$F61),IF($D61="Milestone","D",1),""))</f>
        <v/>
      </c>
      <c r="J61" s="43" t="str">
        <f aca="false">IF($E61="","",IF(AND(J$4&gt;=$E61,J$4&lt;=$F61),IF($D61="Milestone","D",1),""))</f>
        <v/>
      </c>
      <c r="K61" s="43" t="str">
        <f aca="false">IF($E61="","",IF(AND(K$4&gt;=$E61,K$4&lt;=$F61),IF($D61="Milestone","D",1),""))</f>
        <v/>
      </c>
      <c r="L61" s="43" t="str">
        <f aca="false">IF($E61="","",IF(AND(L$4&gt;=$E61,L$4&lt;=$F61),IF($D61="Milestone","D",1),""))</f>
        <v/>
      </c>
      <c r="M61" s="43" t="str">
        <f aca="false">IF($E61="","",IF(AND(M$4&gt;=$E61,M$4&lt;=$F61),IF($D61="Milestone","D",1),""))</f>
        <v/>
      </c>
      <c r="N61" s="43" t="str">
        <f aca="false">IF($E61="","",IF(AND(N$4&gt;=$E61,N$4&lt;=$F61),IF($D61="Milestone","D",1),""))</f>
        <v/>
      </c>
      <c r="O61" s="43" t="str">
        <f aca="false">IF($E61="","",IF(AND(O$4&gt;=$E61,O$4&lt;=$F61),IF($D61="Milestone","D",1),""))</f>
        <v/>
      </c>
      <c r="P61" s="43" t="str">
        <f aca="false">IF($E61="","",IF(AND(P$4&gt;=$E61,P$4&lt;=$F61),IF($D61="Milestone","D",1),""))</f>
        <v/>
      </c>
      <c r="Q61" s="43" t="n">
        <f aca="false">IF($E61="","",IF(AND(Q$4&gt;=$E61,Q$4&lt;=$F61),IF($D61="Milestone","D",1),""))</f>
        <v>1</v>
      </c>
      <c r="R61" s="43" t="str">
        <f aca="false">IF($E61="","",IF(AND(R$4&gt;=$E61,R$4&lt;=$F61),IF($D61="Milestone","D",1),""))</f>
        <v/>
      </c>
      <c r="S61" s="43" t="str">
        <f aca="false">IF($E61="","",IF(AND(S$4&gt;=$E61,S$4&lt;=$F61),IF($D61="Milestone","D",1),""))</f>
        <v/>
      </c>
      <c r="T61" s="43" t="str">
        <f aca="false">IF($E61="","",IF(AND(T$4&gt;=$E61,T$4&lt;=$F61),IF($D61="Milestone","D",1),""))</f>
        <v/>
      </c>
      <c r="U61" s="43" t="str">
        <f aca="false">IF($E61="","",IF(AND(U$4&gt;=$E61,U$4&lt;=$F61),IF($D61="Milestone","D",1),""))</f>
        <v/>
      </c>
      <c r="V61" s="43" t="str">
        <f aca="false">IF($E61="","",IF(AND(V$4&gt;=$E61,V$4&lt;=$F61),IF($D61="Milestone","D",1),""))</f>
        <v/>
      </c>
      <c r="W61" s="43" t="str">
        <f aca="false">IF($E61="","",IF(AND(W$4&gt;=$E61,W$4&lt;=$F61),IF($D61="Milestone","D",1),""))</f>
        <v/>
      </c>
      <c r="X61" s="43" t="str">
        <f aca="false">IF($E61="","",IF(AND(X$4&gt;=$E61,X$4&lt;=$F61),IF($D61="Milestone","D",1),""))</f>
        <v/>
      </c>
      <c r="Y61" s="43" t="str">
        <f aca="false">IF($E61="","",IF(AND(Y$4&gt;=$E61,Y$4&lt;=$F61),IF($D61="Milestone","D",1),""))</f>
        <v/>
      </c>
      <c r="Z61" s="43" t="str">
        <f aca="false">IF($E61="","",IF(AND(Z$4&gt;=$E61,Z$4&lt;=$F61),IF($D61="Milestone","D",1),""))</f>
        <v/>
      </c>
      <c r="AA61" s="43" t="str">
        <f aca="false">IF($E61="","",IF(AND(AA$4&gt;=$E61,AA$4&lt;=$F61),IF($D61="Milestone","D",1),""))</f>
        <v/>
      </c>
      <c r="AB61" s="43" t="str">
        <f aca="false">IF($E61="","",IF(AND(AB$4&gt;=$E61,AB$4&lt;=$F61),IF($D61="Milestone","D",1),""))</f>
        <v/>
      </c>
      <c r="AC61" s="43" t="str">
        <f aca="false">IF($E61="","",IF(AND(AC$4&gt;=$E61,AC$4&lt;=$F61),IF($D61="Milestone","D",1),""))</f>
        <v/>
      </c>
      <c r="AD61" s="43" t="str">
        <f aca="false">IF($E61="","",IF(AND(AD$4&gt;=$E61,AD$4&lt;=$F61),IF($D61="Milestone","D",1),""))</f>
        <v/>
      </c>
      <c r="AE61" s="43" t="str">
        <f aca="false">IF($E61="","",IF(AND(AE$4&gt;=$E61,AE$4&lt;=$F61),IF($D61="Milestone","D",1),""))</f>
        <v/>
      </c>
      <c r="AF61" s="43" t="str">
        <f aca="false">IF($E61="","",IF(AND(AF$4&gt;=$E61,AF$4&lt;=$F61),IF($D61="Milestone","D",1),""))</f>
        <v/>
      </c>
      <c r="AG61" s="43" t="str">
        <f aca="false">IF($E61="","",IF(AND(AG$4&gt;=$E61,AG$4&lt;=$F61),IF($D61="Milestone","D",1),""))</f>
        <v/>
      </c>
      <c r="AH61" s="43" t="str">
        <f aca="false">IF($E61="","",IF(AND(AH$4&gt;=$E61,AH$4&lt;=$F61),IF($D61="Milestone","D",1),""))</f>
        <v/>
      </c>
    </row>
    <row r="62" customFormat="false" ht="15" hidden="false" customHeight="false" outlineLevel="0" collapsed="false">
      <c r="A62" s="40" t="str">
        <f aca="false">WBS!A59</f>
        <v>CD-11</v>
      </c>
      <c r="B62" s="41" t="str">
        <f aca="false">WBS!B59</f>
        <v>Battery cradle</v>
      </c>
      <c r="C62" s="40" t="str">
        <f aca="false">WBS!E59</f>
        <v>Suvanna</v>
      </c>
      <c r="D62" s="40" t="str">
        <f aca="false">WBS!D59</f>
        <v>CAD Design</v>
      </c>
      <c r="E62" s="42" t="n">
        <f aca="false">WBS!L59</f>
        <v>46234</v>
      </c>
      <c r="F62" s="42" t="n">
        <f aca="false">WBS!M59</f>
        <v>46234</v>
      </c>
      <c r="G62" s="43" t="str">
        <f aca="false">IF($E62="","",IF(AND(G$4&gt;=$E62,G$4&lt;=$F62),IF($D62="Milestone","D",1),""))</f>
        <v/>
      </c>
      <c r="H62" s="43" t="str">
        <f aca="false">IF($E62="","",IF(AND(H$4&gt;=$E62,H$4&lt;=$F62),IF($D62="Milestone","D",1),""))</f>
        <v/>
      </c>
      <c r="I62" s="43" t="str">
        <f aca="false">IF($E62="","",IF(AND(I$4&gt;=$E62,I$4&lt;=$F62),IF($D62="Milestone","D",1),""))</f>
        <v/>
      </c>
      <c r="J62" s="43" t="str">
        <f aca="false">IF($E62="","",IF(AND(J$4&gt;=$E62,J$4&lt;=$F62),IF($D62="Milestone","D",1),""))</f>
        <v/>
      </c>
      <c r="K62" s="43" t="str">
        <f aca="false">IF($E62="","",IF(AND(K$4&gt;=$E62,K$4&lt;=$F62),IF($D62="Milestone","D",1),""))</f>
        <v/>
      </c>
      <c r="L62" s="43" t="str">
        <f aca="false">IF($E62="","",IF(AND(L$4&gt;=$E62,L$4&lt;=$F62),IF($D62="Milestone","D",1),""))</f>
        <v/>
      </c>
      <c r="M62" s="43" t="str">
        <f aca="false">IF($E62="","",IF(AND(M$4&gt;=$E62,M$4&lt;=$F62),IF($D62="Milestone","D",1),""))</f>
        <v/>
      </c>
      <c r="N62" s="43" t="str">
        <f aca="false">IF($E62="","",IF(AND(N$4&gt;=$E62,N$4&lt;=$F62),IF($D62="Milestone","D",1),""))</f>
        <v/>
      </c>
      <c r="O62" s="43" t="n">
        <f aca="false">IF($E62="","",IF(AND(O$4&gt;=$E62,O$4&lt;=$F62),IF($D62="Milestone","D",1),""))</f>
        <v>1</v>
      </c>
      <c r="P62" s="43" t="str">
        <f aca="false">IF($E62="","",IF(AND(P$4&gt;=$E62,P$4&lt;=$F62),IF($D62="Milestone","D",1),""))</f>
        <v/>
      </c>
      <c r="Q62" s="43" t="str">
        <f aca="false">IF($E62="","",IF(AND(Q$4&gt;=$E62,Q$4&lt;=$F62),IF($D62="Milestone","D",1),""))</f>
        <v/>
      </c>
      <c r="R62" s="43" t="str">
        <f aca="false">IF($E62="","",IF(AND(R$4&gt;=$E62,R$4&lt;=$F62),IF($D62="Milestone","D",1),""))</f>
        <v/>
      </c>
      <c r="S62" s="43" t="str">
        <f aca="false">IF($E62="","",IF(AND(S$4&gt;=$E62,S$4&lt;=$F62),IF($D62="Milestone","D",1),""))</f>
        <v/>
      </c>
      <c r="T62" s="43" t="str">
        <f aca="false">IF($E62="","",IF(AND(T$4&gt;=$E62,T$4&lt;=$F62),IF($D62="Milestone","D",1),""))</f>
        <v/>
      </c>
      <c r="U62" s="43" t="str">
        <f aca="false">IF($E62="","",IF(AND(U$4&gt;=$E62,U$4&lt;=$F62),IF($D62="Milestone","D",1),""))</f>
        <v/>
      </c>
      <c r="V62" s="43" t="str">
        <f aca="false">IF($E62="","",IF(AND(V$4&gt;=$E62,V$4&lt;=$F62),IF($D62="Milestone","D",1),""))</f>
        <v/>
      </c>
      <c r="W62" s="43" t="str">
        <f aca="false">IF($E62="","",IF(AND(W$4&gt;=$E62,W$4&lt;=$F62),IF($D62="Milestone","D",1),""))</f>
        <v/>
      </c>
      <c r="X62" s="43" t="str">
        <f aca="false">IF($E62="","",IF(AND(X$4&gt;=$E62,X$4&lt;=$F62),IF($D62="Milestone","D",1),""))</f>
        <v/>
      </c>
      <c r="Y62" s="43" t="str">
        <f aca="false">IF($E62="","",IF(AND(Y$4&gt;=$E62,Y$4&lt;=$F62),IF($D62="Milestone","D",1),""))</f>
        <v/>
      </c>
      <c r="Z62" s="43" t="str">
        <f aca="false">IF($E62="","",IF(AND(Z$4&gt;=$E62,Z$4&lt;=$F62),IF($D62="Milestone","D",1),""))</f>
        <v/>
      </c>
      <c r="AA62" s="43" t="str">
        <f aca="false">IF($E62="","",IF(AND(AA$4&gt;=$E62,AA$4&lt;=$F62),IF($D62="Milestone","D",1),""))</f>
        <v/>
      </c>
      <c r="AB62" s="43" t="str">
        <f aca="false">IF($E62="","",IF(AND(AB$4&gt;=$E62,AB$4&lt;=$F62),IF($D62="Milestone","D",1),""))</f>
        <v/>
      </c>
      <c r="AC62" s="43" t="str">
        <f aca="false">IF($E62="","",IF(AND(AC$4&gt;=$E62,AC$4&lt;=$F62),IF($D62="Milestone","D",1),""))</f>
        <v/>
      </c>
      <c r="AD62" s="43" t="str">
        <f aca="false">IF($E62="","",IF(AND(AD$4&gt;=$E62,AD$4&lt;=$F62),IF($D62="Milestone","D",1),""))</f>
        <v/>
      </c>
      <c r="AE62" s="43" t="str">
        <f aca="false">IF($E62="","",IF(AND(AE$4&gt;=$E62,AE$4&lt;=$F62),IF($D62="Milestone","D",1),""))</f>
        <v/>
      </c>
      <c r="AF62" s="43" t="str">
        <f aca="false">IF($E62="","",IF(AND(AF$4&gt;=$E62,AF$4&lt;=$F62),IF($D62="Milestone","D",1),""))</f>
        <v/>
      </c>
      <c r="AG62" s="43" t="str">
        <f aca="false">IF($E62="","",IF(AND(AG$4&gt;=$E62,AG$4&lt;=$F62),IF($D62="Milestone","D",1),""))</f>
        <v/>
      </c>
      <c r="AH62" s="43" t="str">
        <f aca="false">IF($E62="","",IF(AND(AH$4&gt;=$E62,AH$4&lt;=$F62),IF($D62="Milestone","D",1),""))</f>
        <v/>
      </c>
    </row>
    <row r="63" customFormat="false" ht="15" hidden="false" customHeight="false" outlineLevel="0" collapsed="false">
      <c r="A63" s="40" t="str">
        <f aca="false">WBS!A60</f>
        <v>CD-12</v>
      </c>
      <c r="B63" s="41" t="str">
        <f aca="false">WBS!B60</f>
        <v>Frame design</v>
      </c>
      <c r="C63" s="40" t="str">
        <f aca="false">WBS!E60</f>
        <v>Neisa</v>
      </c>
      <c r="D63" s="40" t="str">
        <f aca="false">WBS!D60</f>
        <v>CAD Design</v>
      </c>
      <c r="E63" s="42" t="n">
        <f aca="false">WBS!L60</f>
        <v>46232</v>
      </c>
      <c r="F63" s="42" t="n">
        <f aca="false">WBS!M60</f>
        <v>46234</v>
      </c>
      <c r="G63" s="43" t="str">
        <f aca="false">IF($E63="","",IF(AND(G$4&gt;=$E63,G$4&lt;=$F63),IF($D63="Milestone","D",1),""))</f>
        <v/>
      </c>
      <c r="H63" s="43" t="str">
        <f aca="false">IF($E63="","",IF(AND(H$4&gt;=$E63,H$4&lt;=$F63),IF($D63="Milestone","D",1),""))</f>
        <v/>
      </c>
      <c r="I63" s="43" t="str">
        <f aca="false">IF($E63="","",IF(AND(I$4&gt;=$E63,I$4&lt;=$F63),IF($D63="Milestone","D",1),""))</f>
        <v/>
      </c>
      <c r="J63" s="43" t="str">
        <f aca="false">IF($E63="","",IF(AND(J$4&gt;=$E63,J$4&lt;=$F63),IF($D63="Milestone","D",1),""))</f>
        <v/>
      </c>
      <c r="K63" s="43" t="str">
        <f aca="false">IF($E63="","",IF(AND(K$4&gt;=$E63,K$4&lt;=$F63),IF($D63="Milestone","D",1),""))</f>
        <v/>
      </c>
      <c r="L63" s="43" t="str">
        <f aca="false">IF($E63="","",IF(AND(L$4&gt;=$E63,L$4&lt;=$F63),IF($D63="Milestone","D",1),""))</f>
        <v/>
      </c>
      <c r="M63" s="43" t="n">
        <f aca="false">IF($E63="","",IF(AND(M$4&gt;=$E63,M$4&lt;=$F63),IF($D63="Milestone","D",1),""))</f>
        <v>1</v>
      </c>
      <c r="N63" s="43" t="n">
        <f aca="false">IF($E63="","",IF(AND(N$4&gt;=$E63,N$4&lt;=$F63),IF($D63="Milestone","D",1),""))</f>
        <v>1</v>
      </c>
      <c r="O63" s="43" t="n">
        <f aca="false">IF($E63="","",IF(AND(O$4&gt;=$E63,O$4&lt;=$F63),IF($D63="Milestone","D",1),""))</f>
        <v>1</v>
      </c>
      <c r="P63" s="43" t="str">
        <f aca="false">IF($E63="","",IF(AND(P$4&gt;=$E63,P$4&lt;=$F63),IF($D63="Milestone","D",1),""))</f>
        <v/>
      </c>
      <c r="Q63" s="43" t="str">
        <f aca="false">IF($E63="","",IF(AND(Q$4&gt;=$E63,Q$4&lt;=$F63),IF($D63="Milestone","D",1),""))</f>
        <v/>
      </c>
      <c r="R63" s="43" t="str">
        <f aca="false">IF($E63="","",IF(AND(R$4&gt;=$E63,R$4&lt;=$F63),IF($D63="Milestone","D",1),""))</f>
        <v/>
      </c>
      <c r="S63" s="43" t="str">
        <f aca="false">IF($E63="","",IF(AND(S$4&gt;=$E63,S$4&lt;=$F63),IF($D63="Milestone","D",1),""))</f>
        <v/>
      </c>
      <c r="T63" s="43" t="str">
        <f aca="false">IF($E63="","",IF(AND(T$4&gt;=$E63,T$4&lt;=$F63),IF($D63="Milestone","D",1),""))</f>
        <v/>
      </c>
      <c r="U63" s="43" t="str">
        <f aca="false">IF($E63="","",IF(AND(U$4&gt;=$E63,U$4&lt;=$F63),IF($D63="Milestone","D",1),""))</f>
        <v/>
      </c>
      <c r="V63" s="43" t="str">
        <f aca="false">IF($E63="","",IF(AND(V$4&gt;=$E63,V$4&lt;=$F63),IF($D63="Milestone","D",1),""))</f>
        <v/>
      </c>
      <c r="W63" s="43" t="str">
        <f aca="false">IF($E63="","",IF(AND(W$4&gt;=$E63,W$4&lt;=$F63),IF($D63="Milestone","D",1),""))</f>
        <v/>
      </c>
      <c r="X63" s="43" t="str">
        <f aca="false">IF($E63="","",IF(AND(X$4&gt;=$E63,X$4&lt;=$F63),IF($D63="Milestone","D",1),""))</f>
        <v/>
      </c>
      <c r="Y63" s="43" t="str">
        <f aca="false">IF($E63="","",IF(AND(Y$4&gt;=$E63,Y$4&lt;=$F63),IF($D63="Milestone","D",1),""))</f>
        <v/>
      </c>
      <c r="Z63" s="43" t="str">
        <f aca="false">IF($E63="","",IF(AND(Z$4&gt;=$E63,Z$4&lt;=$F63),IF($D63="Milestone","D",1),""))</f>
        <v/>
      </c>
      <c r="AA63" s="43" t="str">
        <f aca="false">IF($E63="","",IF(AND(AA$4&gt;=$E63,AA$4&lt;=$F63),IF($D63="Milestone","D",1),""))</f>
        <v/>
      </c>
      <c r="AB63" s="43" t="str">
        <f aca="false">IF($E63="","",IF(AND(AB$4&gt;=$E63,AB$4&lt;=$F63),IF($D63="Milestone","D",1),""))</f>
        <v/>
      </c>
      <c r="AC63" s="43" t="str">
        <f aca="false">IF($E63="","",IF(AND(AC$4&gt;=$E63,AC$4&lt;=$F63),IF($D63="Milestone","D",1),""))</f>
        <v/>
      </c>
      <c r="AD63" s="43" t="str">
        <f aca="false">IF($E63="","",IF(AND(AD$4&gt;=$E63,AD$4&lt;=$F63),IF($D63="Milestone","D",1),""))</f>
        <v/>
      </c>
      <c r="AE63" s="43" t="str">
        <f aca="false">IF($E63="","",IF(AND(AE$4&gt;=$E63,AE$4&lt;=$F63),IF($D63="Milestone","D",1),""))</f>
        <v/>
      </c>
      <c r="AF63" s="43" t="str">
        <f aca="false">IF($E63="","",IF(AND(AF$4&gt;=$E63,AF$4&lt;=$F63),IF($D63="Milestone","D",1),""))</f>
        <v/>
      </c>
      <c r="AG63" s="43" t="str">
        <f aca="false">IF($E63="","",IF(AND(AG$4&gt;=$E63,AG$4&lt;=$F63),IF($D63="Milestone","D",1),""))</f>
        <v/>
      </c>
      <c r="AH63" s="43" t="str">
        <f aca="false">IF($E63="","",IF(AND(AH$4&gt;=$E63,AH$4&lt;=$F63),IF($D63="Milestone","D",1),""))</f>
        <v/>
      </c>
    </row>
    <row r="64" customFormat="false" ht="15" hidden="false" customHeight="false" outlineLevel="0" collapsed="false">
      <c r="A64" s="40" t="str">
        <f aca="false">WBS!A61</f>
        <v>CD-13</v>
      </c>
      <c r="B64" s="41" t="str">
        <f aca="false">WBS!B61</f>
        <v>Wheel burst shields</v>
      </c>
      <c r="C64" s="40" t="str">
        <f aca="false">WBS!E61</f>
        <v>Suvanna</v>
      </c>
      <c r="D64" s="40" t="str">
        <f aca="false">WBS!D61</f>
        <v>CAD Design</v>
      </c>
      <c r="E64" s="42" t="n">
        <f aca="false">WBS!L61</f>
        <v>46235</v>
      </c>
      <c r="F64" s="42" t="n">
        <f aca="false">WBS!M61</f>
        <v>46235</v>
      </c>
      <c r="G64" s="43" t="str">
        <f aca="false">IF($E64="","",IF(AND(G$4&gt;=$E64,G$4&lt;=$F64),IF($D64="Milestone","D",1),""))</f>
        <v/>
      </c>
      <c r="H64" s="43" t="str">
        <f aca="false">IF($E64="","",IF(AND(H$4&gt;=$E64,H$4&lt;=$F64),IF($D64="Milestone","D",1),""))</f>
        <v/>
      </c>
      <c r="I64" s="43" t="str">
        <f aca="false">IF($E64="","",IF(AND(I$4&gt;=$E64,I$4&lt;=$F64),IF($D64="Milestone","D",1),""))</f>
        <v/>
      </c>
      <c r="J64" s="43" t="str">
        <f aca="false">IF($E64="","",IF(AND(J$4&gt;=$E64,J$4&lt;=$F64),IF($D64="Milestone","D",1),""))</f>
        <v/>
      </c>
      <c r="K64" s="43" t="str">
        <f aca="false">IF($E64="","",IF(AND(K$4&gt;=$E64,K$4&lt;=$F64),IF($D64="Milestone","D",1),""))</f>
        <v/>
      </c>
      <c r="L64" s="43" t="str">
        <f aca="false">IF($E64="","",IF(AND(L$4&gt;=$E64,L$4&lt;=$F64),IF($D64="Milestone","D",1),""))</f>
        <v/>
      </c>
      <c r="M64" s="43" t="str">
        <f aca="false">IF($E64="","",IF(AND(M$4&gt;=$E64,M$4&lt;=$F64),IF($D64="Milestone","D",1),""))</f>
        <v/>
      </c>
      <c r="N64" s="43" t="str">
        <f aca="false">IF($E64="","",IF(AND(N$4&gt;=$E64,N$4&lt;=$F64),IF($D64="Milestone","D",1),""))</f>
        <v/>
      </c>
      <c r="O64" s="43" t="str">
        <f aca="false">IF($E64="","",IF(AND(O$4&gt;=$E64,O$4&lt;=$F64),IF($D64="Milestone","D",1),""))</f>
        <v/>
      </c>
      <c r="P64" s="43" t="n">
        <f aca="false">IF($E64="","",IF(AND(P$4&gt;=$E64,P$4&lt;=$F64),IF($D64="Milestone","D",1),""))</f>
        <v>1</v>
      </c>
      <c r="Q64" s="43" t="str">
        <f aca="false">IF($E64="","",IF(AND(Q$4&gt;=$E64,Q$4&lt;=$F64),IF($D64="Milestone","D",1),""))</f>
        <v/>
      </c>
      <c r="R64" s="43" t="str">
        <f aca="false">IF($E64="","",IF(AND(R$4&gt;=$E64,R$4&lt;=$F64),IF($D64="Milestone","D",1),""))</f>
        <v/>
      </c>
      <c r="S64" s="43" t="str">
        <f aca="false">IF($E64="","",IF(AND(S$4&gt;=$E64,S$4&lt;=$F64),IF($D64="Milestone","D",1),""))</f>
        <v/>
      </c>
      <c r="T64" s="43" t="str">
        <f aca="false">IF($E64="","",IF(AND(T$4&gt;=$E64,T$4&lt;=$F64),IF($D64="Milestone","D",1),""))</f>
        <v/>
      </c>
      <c r="U64" s="43" t="str">
        <f aca="false">IF($E64="","",IF(AND(U$4&gt;=$E64,U$4&lt;=$F64),IF($D64="Milestone","D",1),""))</f>
        <v/>
      </c>
      <c r="V64" s="43" t="str">
        <f aca="false">IF($E64="","",IF(AND(V$4&gt;=$E64,V$4&lt;=$F64),IF($D64="Milestone","D",1),""))</f>
        <v/>
      </c>
      <c r="W64" s="43" t="str">
        <f aca="false">IF($E64="","",IF(AND(W$4&gt;=$E64,W$4&lt;=$F64),IF($D64="Milestone","D",1),""))</f>
        <v/>
      </c>
      <c r="X64" s="43" t="str">
        <f aca="false">IF($E64="","",IF(AND(X$4&gt;=$E64,X$4&lt;=$F64),IF($D64="Milestone","D",1),""))</f>
        <v/>
      </c>
      <c r="Y64" s="43" t="str">
        <f aca="false">IF($E64="","",IF(AND(Y$4&gt;=$E64,Y$4&lt;=$F64),IF($D64="Milestone","D",1),""))</f>
        <v/>
      </c>
      <c r="Z64" s="43" t="str">
        <f aca="false">IF($E64="","",IF(AND(Z$4&gt;=$E64,Z$4&lt;=$F64),IF($D64="Milestone","D",1),""))</f>
        <v/>
      </c>
      <c r="AA64" s="43" t="str">
        <f aca="false">IF($E64="","",IF(AND(AA$4&gt;=$E64,AA$4&lt;=$F64),IF($D64="Milestone","D",1),""))</f>
        <v/>
      </c>
      <c r="AB64" s="43" t="str">
        <f aca="false">IF($E64="","",IF(AND(AB$4&gt;=$E64,AB$4&lt;=$F64),IF($D64="Milestone","D",1),""))</f>
        <v/>
      </c>
      <c r="AC64" s="43" t="str">
        <f aca="false">IF($E64="","",IF(AND(AC$4&gt;=$E64,AC$4&lt;=$F64),IF($D64="Milestone","D",1),""))</f>
        <v/>
      </c>
      <c r="AD64" s="43" t="str">
        <f aca="false">IF($E64="","",IF(AND(AD$4&gt;=$E64,AD$4&lt;=$F64),IF($D64="Milestone","D",1),""))</f>
        <v/>
      </c>
      <c r="AE64" s="43" t="str">
        <f aca="false">IF($E64="","",IF(AND(AE$4&gt;=$E64,AE$4&lt;=$F64),IF($D64="Milestone","D",1),""))</f>
        <v/>
      </c>
      <c r="AF64" s="43" t="str">
        <f aca="false">IF($E64="","",IF(AND(AF$4&gt;=$E64,AF$4&lt;=$F64),IF($D64="Milestone","D",1),""))</f>
        <v/>
      </c>
      <c r="AG64" s="43" t="str">
        <f aca="false">IF($E64="","",IF(AND(AG$4&gt;=$E64,AG$4&lt;=$F64),IF($D64="Milestone","D",1),""))</f>
        <v/>
      </c>
      <c r="AH64" s="43" t="str">
        <f aca="false">IF($E64="","",IF(AND(AH$4&gt;=$E64,AH$4&lt;=$F64),IF($D64="Milestone","D",1),""))</f>
        <v/>
      </c>
    </row>
    <row r="65" customFormat="false" ht="15" hidden="false" customHeight="false" outlineLevel="0" collapsed="false">
      <c r="A65" s="40" t="str">
        <f aca="false">WBS!A62</f>
        <v>CD-14</v>
      </c>
      <c r="B65" s="41" t="str">
        <f aca="false">WBS!B62</f>
        <v>Corner caps &amp; edge protectors</v>
      </c>
      <c r="C65" s="40" t="str">
        <f aca="false">WBS!E62</f>
        <v>Suvanna</v>
      </c>
      <c r="D65" s="40" t="str">
        <f aca="false">WBS!D62</f>
        <v>CAD Design</v>
      </c>
      <c r="E65" s="42" t="n">
        <f aca="false">WBS!L62</f>
        <v>46236</v>
      </c>
      <c r="F65" s="42" t="n">
        <f aca="false">WBS!M62</f>
        <v>46236</v>
      </c>
      <c r="G65" s="43" t="str">
        <f aca="false">IF($E65="","",IF(AND(G$4&gt;=$E65,G$4&lt;=$F65),IF($D65="Milestone","D",1),""))</f>
        <v/>
      </c>
      <c r="H65" s="43" t="str">
        <f aca="false">IF($E65="","",IF(AND(H$4&gt;=$E65,H$4&lt;=$F65),IF($D65="Milestone","D",1),""))</f>
        <v/>
      </c>
      <c r="I65" s="43" t="str">
        <f aca="false">IF($E65="","",IF(AND(I$4&gt;=$E65,I$4&lt;=$F65),IF($D65="Milestone","D",1),""))</f>
        <v/>
      </c>
      <c r="J65" s="43" t="str">
        <f aca="false">IF($E65="","",IF(AND(J$4&gt;=$E65,J$4&lt;=$F65),IF($D65="Milestone","D",1),""))</f>
        <v/>
      </c>
      <c r="K65" s="43" t="str">
        <f aca="false">IF($E65="","",IF(AND(K$4&gt;=$E65,K$4&lt;=$F65),IF($D65="Milestone","D",1),""))</f>
        <v/>
      </c>
      <c r="L65" s="43" t="str">
        <f aca="false">IF($E65="","",IF(AND(L$4&gt;=$E65,L$4&lt;=$F65),IF($D65="Milestone","D",1),""))</f>
        <v/>
      </c>
      <c r="M65" s="43" t="str">
        <f aca="false">IF($E65="","",IF(AND(M$4&gt;=$E65,M$4&lt;=$F65),IF($D65="Milestone","D",1),""))</f>
        <v/>
      </c>
      <c r="N65" s="43" t="str">
        <f aca="false">IF($E65="","",IF(AND(N$4&gt;=$E65,N$4&lt;=$F65),IF($D65="Milestone","D",1),""))</f>
        <v/>
      </c>
      <c r="O65" s="43" t="str">
        <f aca="false">IF($E65="","",IF(AND(O$4&gt;=$E65,O$4&lt;=$F65),IF($D65="Milestone","D",1),""))</f>
        <v/>
      </c>
      <c r="P65" s="43" t="str">
        <f aca="false">IF($E65="","",IF(AND(P$4&gt;=$E65,P$4&lt;=$F65),IF($D65="Milestone","D",1),""))</f>
        <v/>
      </c>
      <c r="Q65" s="43" t="n">
        <f aca="false">IF($E65="","",IF(AND(Q$4&gt;=$E65,Q$4&lt;=$F65),IF($D65="Milestone","D",1),""))</f>
        <v>1</v>
      </c>
      <c r="R65" s="43" t="str">
        <f aca="false">IF($E65="","",IF(AND(R$4&gt;=$E65,R$4&lt;=$F65),IF($D65="Milestone","D",1),""))</f>
        <v/>
      </c>
      <c r="S65" s="43" t="str">
        <f aca="false">IF($E65="","",IF(AND(S$4&gt;=$E65,S$4&lt;=$F65),IF($D65="Milestone","D",1),""))</f>
        <v/>
      </c>
      <c r="T65" s="43" t="str">
        <f aca="false">IF($E65="","",IF(AND(T$4&gt;=$E65,T$4&lt;=$F65),IF($D65="Milestone","D",1),""))</f>
        <v/>
      </c>
      <c r="U65" s="43" t="str">
        <f aca="false">IF($E65="","",IF(AND(U$4&gt;=$E65,U$4&lt;=$F65),IF($D65="Milestone","D",1),""))</f>
        <v/>
      </c>
      <c r="V65" s="43" t="str">
        <f aca="false">IF($E65="","",IF(AND(V$4&gt;=$E65,V$4&lt;=$F65),IF($D65="Milestone","D",1),""))</f>
        <v/>
      </c>
      <c r="W65" s="43" t="str">
        <f aca="false">IF($E65="","",IF(AND(W$4&gt;=$E65,W$4&lt;=$F65),IF($D65="Milestone","D",1),""))</f>
        <v/>
      </c>
      <c r="X65" s="43" t="str">
        <f aca="false">IF($E65="","",IF(AND(X$4&gt;=$E65,X$4&lt;=$F65),IF($D65="Milestone","D",1),""))</f>
        <v/>
      </c>
      <c r="Y65" s="43" t="str">
        <f aca="false">IF($E65="","",IF(AND(Y$4&gt;=$E65,Y$4&lt;=$F65),IF($D65="Milestone","D",1),""))</f>
        <v/>
      </c>
      <c r="Z65" s="43" t="str">
        <f aca="false">IF($E65="","",IF(AND(Z$4&gt;=$E65,Z$4&lt;=$F65),IF($D65="Milestone","D",1),""))</f>
        <v/>
      </c>
      <c r="AA65" s="43" t="str">
        <f aca="false">IF($E65="","",IF(AND(AA$4&gt;=$E65,AA$4&lt;=$F65),IF($D65="Milestone","D",1),""))</f>
        <v/>
      </c>
      <c r="AB65" s="43" t="str">
        <f aca="false">IF($E65="","",IF(AND(AB$4&gt;=$E65,AB$4&lt;=$F65),IF($D65="Milestone","D",1),""))</f>
        <v/>
      </c>
      <c r="AC65" s="43" t="str">
        <f aca="false">IF($E65="","",IF(AND(AC$4&gt;=$E65,AC$4&lt;=$F65),IF($D65="Milestone","D",1),""))</f>
        <v/>
      </c>
      <c r="AD65" s="43" t="str">
        <f aca="false">IF($E65="","",IF(AND(AD$4&gt;=$E65,AD$4&lt;=$F65),IF($D65="Milestone","D",1),""))</f>
        <v/>
      </c>
      <c r="AE65" s="43" t="str">
        <f aca="false">IF($E65="","",IF(AND(AE$4&gt;=$E65,AE$4&lt;=$F65),IF($D65="Milestone","D",1),""))</f>
        <v/>
      </c>
      <c r="AF65" s="43" t="str">
        <f aca="false">IF($E65="","",IF(AND(AF$4&gt;=$E65,AF$4&lt;=$F65),IF($D65="Milestone","D",1),""))</f>
        <v/>
      </c>
      <c r="AG65" s="43" t="str">
        <f aca="false">IF($E65="","",IF(AND(AG$4&gt;=$E65,AG$4&lt;=$F65),IF($D65="Milestone","D",1),""))</f>
        <v/>
      </c>
      <c r="AH65" s="43" t="str">
        <f aca="false">IF($E65="","",IF(AND(AH$4&gt;=$E65,AH$4&lt;=$F65),IF($D65="Milestone","D",1),""))</f>
        <v/>
      </c>
    </row>
    <row r="66" customFormat="false" ht="15" hidden="false" customHeight="false" outlineLevel="0" collapsed="false">
      <c r="A66" s="40" t="str">
        <f aca="false">WBS!A63</f>
        <v>CD-15</v>
      </c>
      <c r="B66" s="41" t="str">
        <f aca="false">WBS!B63</f>
        <v>Cable clips</v>
      </c>
      <c r="C66" s="40" t="str">
        <f aca="false">WBS!E63</f>
        <v>Suvanna</v>
      </c>
      <c r="D66" s="40" t="str">
        <f aca="false">WBS!D63</f>
        <v>CAD Design</v>
      </c>
      <c r="E66" s="42" t="n">
        <f aca="false">WBS!L63</f>
        <v>46236</v>
      </c>
      <c r="F66" s="42" t="n">
        <f aca="false">WBS!M63</f>
        <v>46236</v>
      </c>
      <c r="G66" s="43" t="str">
        <f aca="false">IF($E66="","",IF(AND(G$4&gt;=$E66,G$4&lt;=$F66),IF($D66="Milestone","D",1),""))</f>
        <v/>
      </c>
      <c r="H66" s="43" t="str">
        <f aca="false">IF($E66="","",IF(AND(H$4&gt;=$E66,H$4&lt;=$F66),IF($D66="Milestone","D",1),""))</f>
        <v/>
      </c>
      <c r="I66" s="43" t="str">
        <f aca="false">IF($E66="","",IF(AND(I$4&gt;=$E66,I$4&lt;=$F66),IF($D66="Milestone","D",1),""))</f>
        <v/>
      </c>
      <c r="J66" s="43" t="str">
        <f aca="false">IF($E66="","",IF(AND(J$4&gt;=$E66,J$4&lt;=$F66),IF($D66="Milestone","D",1),""))</f>
        <v/>
      </c>
      <c r="K66" s="43" t="str">
        <f aca="false">IF($E66="","",IF(AND(K$4&gt;=$E66,K$4&lt;=$F66),IF($D66="Milestone","D",1),""))</f>
        <v/>
      </c>
      <c r="L66" s="43" t="str">
        <f aca="false">IF($E66="","",IF(AND(L$4&gt;=$E66,L$4&lt;=$F66),IF($D66="Milestone","D",1),""))</f>
        <v/>
      </c>
      <c r="M66" s="43" t="str">
        <f aca="false">IF($E66="","",IF(AND(M$4&gt;=$E66,M$4&lt;=$F66),IF($D66="Milestone","D",1),""))</f>
        <v/>
      </c>
      <c r="N66" s="43" t="str">
        <f aca="false">IF($E66="","",IF(AND(N$4&gt;=$E66,N$4&lt;=$F66),IF($D66="Milestone","D",1),""))</f>
        <v/>
      </c>
      <c r="O66" s="43" t="str">
        <f aca="false">IF($E66="","",IF(AND(O$4&gt;=$E66,O$4&lt;=$F66),IF($D66="Milestone","D",1),""))</f>
        <v/>
      </c>
      <c r="P66" s="43" t="str">
        <f aca="false">IF($E66="","",IF(AND(P$4&gt;=$E66,P$4&lt;=$F66),IF($D66="Milestone","D",1),""))</f>
        <v/>
      </c>
      <c r="Q66" s="43" t="n">
        <f aca="false">IF($E66="","",IF(AND(Q$4&gt;=$E66,Q$4&lt;=$F66),IF($D66="Milestone","D",1),""))</f>
        <v>1</v>
      </c>
      <c r="R66" s="43" t="str">
        <f aca="false">IF($E66="","",IF(AND(R$4&gt;=$E66,R$4&lt;=$F66),IF($D66="Milestone","D",1),""))</f>
        <v/>
      </c>
      <c r="S66" s="43" t="str">
        <f aca="false">IF($E66="","",IF(AND(S$4&gt;=$E66,S$4&lt;=$F66),IF($D66="Milestone","D",1),""))</f>
        <v/>
      </c>
      <c r="T66" s="43" t="str">
        <f aca="false">IF($E66="","",IF(AND(T$4&gt;=$E66,T$4&lt;=$F66),IF($D66="Milestone","D",1),""))</f>
        <v/>
      </c>
      <c r="U66" s="43" t="str">
        <f aca="false">IF($E66="","",IF(AND(U$4&gt;=$E66,U$4&lt;=$F66),IF($D66="Milestone","D",1),""))</f>
        <v/>
      </c>
      <c r="V66" s="43" t="str">
        <f aca="false">IF($E66="","",IF(AND(V$4&gt;=$E66,V$4&lt;=$F66),IF($D66="Milestone","D",1),""))</f>
        <v/>
      </c>
      <c r="W66" s="43" t="str">
        <f aca="false">IF($E66="","",IF(AND(W$4&gt;=$E66,W$4&lt;=$F66),IF($D66="Milestone","D",1),""))</f>
        <v/>
      </c>
      <c r="X66" s="43" t="str">
        <f aca="false">IF($E66="","",IF(AND(X$4&gt;=$E66,X$4&lt;=$F66),IF($D66="Milestone","D",1),""))</f>
        <v/>
      </c>
      <c r="Y66" s="43" t="str">
        <f aca="false">IF($E66="","",IF(AND(Y$4&gt;=$E66,Y$4&lt;=$F66),IF($D66="Milestone","D",1),""))</f>
        <v/>
      </c>
      <c r="Z66" s="43" t="str">
        <f aca="false">IF($E66="","",IF(AND(Z$4&gt;=$E66,Z$4&lt;=$F66),IF($D66="Milestone","D",1),""))</f>
        <v/>
      </c>
      <c r="AA66" s="43" t="str">
        <f aca="false">IF($E66="","",IF(AND(AA$4&gt;=$E66,AA$4&lt;=$F66),IF($D66="Milestone","D",1),""))</f>
        <v/>
      </c>
      <c r="AB66" s="43" t="str">
        <f aca="false">IF($E66="","",IF(AND(AB$4&gt;=$E66,AB$4&lt;=$F66),IF($D66="Milestone","D",1),""))</f>
        <v/>
      </c>
      <c r="AC66" s="43" t="str">
        <f aca="false">IF($E66="","",IF(AND(AC$4&gt;=$E66,AC$4&lt;=$F66),IF($D66="Milestone","D",1),""))</f>
        <v/>
      </c>
      <c r="AD66" s="43" t="str">
        <f aca="false">IF($E66="","",IF(AND(AD$4&gt;=$E66,AD$4&lt;=$F66),IF($D66="Milestone","D",1),""))</f>
        <v/>
      </c>
      <c r="AE66" s="43" t="str">
        <f aca="false">IF($E66="","",IF(AND(AE$4&gt;=$E66,AE$4&lt;=$F66),IF($D66="Milestone","D",1),""))</f>
        <v/>
      </c>
      <c r="AF66" s="43" t="str">
        <f aca="false">IF($E66="","",IF(AND(AF$4&gt;=$E66,AF$4&lt;=$F66),IF($D66="Milestone","D",1),""))</f>
        <v/>
      </c>
      <c r="AG66" s="43" t="str">
        <f aca="false">IF($E66="","",IF(AND(AG$4&gt;=$E66,AG$4&lt;=$F66),IF($D66="Milestone","D",1),""))</f>
        <v/>
      </c>
      <c r="AH66" s="43" t="str">
        <f aca="false">IF($E66="","",IF(AND(AH$4&gt;=$E66,AH$4&lt;=$F66),IF($D66="Milestone","D",1),""))</f>
        <v/>
      </c>
    </row>
    <row r="67" customFormat="false" ht="15" hidden="false" customHeight="false" outlineLevel="0" collapsed="false">
      <c r="A67" s="40" t="str">
        <f aca="false">WBS!A64</f>
        <v>CD-16</v>
      </c>
      <c r="B67" s="41" t="str">
        <f aca="false">WBS!B64</f>
        <v>Brake caliper &amp; linkage</v>
      </c>
      <c r="C67" s="40" t="str">
        <f aca="false">WBS!E64</f>
        <v>Suvanna</v>
      </c>
      <c r="D67" s="40" t="str">
        <f aca="false">WBS!D64</f>
        <v>CAD Design</v>
      </c>
      <c r="E67" s="42" t="n">
        <f aca="false">WBS!L64</f>
        <v>46240</v>
      </c>
      <c r="F67" s="42" t="n">
        <f aca="false">WBS!M64</f>
        <v>46243</v>
      </c>
      <c r="G67" s="43" t="str">
        <f aca="false">IF($E67="","",IF(AND(G$4&gt;=$E67,G$4&lt;=$F67),IF($D67="Milestone","D",1),""))</f>
        <v/>
      </c>
      <c r="H67" s="43" t="str">
        <f aca="false">IF($E67="","",IF(AND(H$4&gt;=$E67,H$4&lt;=$F67),IF($D67="Milestone","D",1),""))</f>
        <v/>
      </c>
      <c r="I67" s="43" t="str">
        <f aca="false">IF($E67="","",IF(AND(I$4&gt;=$E67,I$4&lt;=$F67),IF($D67="Milestone","D",1),""))</f>
        <v/>
      </c>
      <c r="J67" s="43" t="str">
        <f aca="false">IF($E67="","",IF(AND(J$4&gt;=$E67,J$4&lt;=$F67),IF($D67="Milestone","D",1),""))</f>
        <v/>
      </c>
      <c r="K67" s="43" t="str">
        <f aca="false">IF($E67="","",IF(AND(K$4&gt;=$E67,K$4&lt;=$F67),IF($D67="Milestone","D",1),""))</f>
        <v/>
      </c>
      <c r="L67" s="43" t="str">
        <f aca="false">IF($E67="","",IF(AND(L$4&gt;=$E67,L$4&lt;=$F67),IF($D67="Milestone","D",1),""))</f>
        <v/>
      </c>
      <c r="M67" s="43" t="str">
        <f aca="false">IF($E67="","",IF(AND(M$4&gt;=$E67,M$4&lt;=$F67),IF($D67="Milestone","D",1),""))</f>
        <v/>
      </c>
      <c r="N67" s="43" t="str">
        <f aca="false">IF($E67="","",IF(AND(N$4&gt;=$E67,N$4&lt;=$F67),IF($D67="Milestone","D",1),""))</f>
        <v/>
      </c>
      <c r="O67" s="43" t="str">
        <f aca="false">IF($E67="","",IF(AND(O$4&gt;=$E67,O$4&lt;=$F67),IF($D67="Milestone","D",1),""))</f>
        <v/>
      </c>
      <c r="P67" s="43" t="str">
        <f aca="false">IF($E67="","",IF(AND(P$4&gt;=$E67,P$4&lt;=$F67),IF($D67="Milestone","D",1),""))</f>
        <v/>
      </c>
      <c r="Q67" s="43" t="str">
        <f aca="false">IF($E67="","",IF(AND(Q$4&gt;=$E67,Q$4&lt;=$F67),IF($D67="Milestone","D",1),""))</f>
        <v/>
      </c>
      <c r="R67" s="43" t="str">
        <f aca="false">IF($E67="","",IF(AND(R$4&gt;=$E67,R$4&lt;=$F67),IF($D67="Milestone","D",1),""))</f>
        <v/>
      </c>
      <c r="S67" s="43" t="str">
        <f aca="false">IF($E67="","",IF(AND(S$4&gt;=$E67,S$4&lt;=$F67),IF($D67="Milestone","D",1),""))</f>
        <v/>
      </c>
      <c r="T67" s="43" t="str">
        <f aca="false">IF($E67="","",IF(AND(T$4&gt;=$E67,T$4&lt;=$F67),IF($D67="Milestone","D",1),""))</f>
        <v/>
      </c>
      <c r="U67" s="43" t="n">
        <f aca="false">IF($E67="","",IF(AND(U$4&gt;=$E67,U$4&lt;=$F67),IF($D67="Milestone","D",1),""))</f>
        <v>1</v>
      </c>
      <c r="V67" s="43" t="n">
        <f aca="false">IF($E67="","",IF(AND(V$4&gt;=$E67,V$4&lt;=$F67),IF($D67="Milestone","D",1),""))</f>
        <v>1</v>
      </c>
      <c r="W67" s="43" t="n">
        <f aca="false">IF($E67="","",IF(AND(W$4&gt;=$E67,W$4&lt;=$F67),IF($D67="Milestone","D",1),""))</f>
        <v>1</v>
      </c>
      <c r="X67" s="43" t="n">
        <f aca="false">IF($E67="","",IF(AND(X$4&gt;=$E67,X$4&lt;=$F67),IF($D67="Milestone","D",1),""))</f>
        <v>1</v>
      </c>
      <c r="Y67" s="43" t="str">
        <f aca="false">IF($E67="","",IF(AND(Y$4&gt;=$E67,Y$4&lt;=$F67),IF($D67="Milestone","D",1),""))</f>
        <v/>
      </c>
      <c r="Z67" s="43" t="str">
        <f aca="false">IF($E67="","",IF(AND(Z$4&gt;=$E67,Z$4&lt;=$F67),IF($D67="Milestone","D",1),""))</f>
        <v/>
      </c>
      <c r="AA67" s="43" t="str">
        <f aca="false">IF($E67="","",IF(AND(AA$4&gt;=$E67,AA$4&lt;=$F67),IF($D67="Milestone","D",1),""))</f>
        <v/>
      </c>
      <c r="AB67" s="43" t="str">
        <f aca="false">IF($E67="","",IF(AND(AB$4&gt;=$E67,AB$4&lt;=$F67),IF($D67="Milestone","D",1),""))</f>
        <v/>
      </c>
      <c r="AC67" s="43" t="str">
        <f aca="false">IF($E67="","",IF(AND(AC$4&gt;=$E67,AC$4&lt;=$F67),IF($D67="Milestone","D",1),""))</f>
        <v/>
      </c>
      <c r="AD67" s="43" t="str">
        <f aca="false">IF($E67="","",IF(AND(AD$4&gt;=$E67,AD$4&lt;=$F67),IF($D67="Milestone","D",1),""))</f>
        <v/>
      </c>
      <c r="AE67" s="43" t="str">
        <f aca="false">IF($E67="","",IF(AND(AE$4&gt;=$E67,AE$4&lt;=$F67),IF($D67="Milestone","D",1),""))</f>
        <v/>
      </c>
      <c r="AF67" s="43" t="str">
        <f aca="false">IF($E67="","",IF(AND(AF$4&gt;=$E67,AF$4&lt;=$F67),IF($D67="Milestone","D",1),""))</f>
        <v/>
      </c>
      <c r="AG67" s="43" t="str">
        <f aca="false">IF($E67="","",IF(AND(AG$4&gt;=$E67,AG$4&lt;=$F67),IF($D67="Milestone","D",1),""))</f>
        <v/>
      </c>
      <c r="AH67" s="43" t="str">
        <f aca="false">IF($E67="","",IF(AND(AH$4&gt;=$E67,AH$4&lt;=$F67),IF($D67="Milestone","D",1),""))</f>
        <v/>
      </c>
    </row>
    <row r="68" customFormat="false" ht="15" hidden="false" customHeight="false" outlineLevel="0" collapsed="false">
      <c r="A68" s="40" t="str">
        <f aca="false">WBS!A65</f>
        <v>CD-17</v>
      </c>
      <c r="B68" s="41" t="str">
        <f aca="false">WBS!B65</f>
        <v>Face panels</v>
      </c>
      <c r="C68" s="40" t="str">
        <f aca="false">WBS!E65</f>
        <v>Suvanna</v>
      </c>
      <c r="D68" s="40" t="str">
        <f aca="false">WBS!D65</f>
        <v>CAD Design</v>
      </c>
      <c r="E68" s="42" t="n">
        <f aca="false">WBS!L65</f>
        <v>46244</v>
      </c>
      <c r="F68" s="42" t="n">
        <f aca="false">WBS!M65</f>
        <v>46245</v>
      </c>
      <c r="G68" s="43" t="str">
        <f aca="false">IF($E68="","",IF(AND(G$4&gt;=$E68,G$4&lt;=$F68),IF($D68="Milestone","D",1),""))</f>
        <v/>
      </c>
      <c r="H68" s="43" t="str">
        <f aca="false">IF($E68="","",IF(AND(H$4&gt;=$E68,H$4&lt;=$F68),IF($D68="Milestone","D",1),""))</f>
        <v/>
      </c>
      <c r="I68" s="43" t="str">
        <f aca="false">IF($E68="","",IF(AND(I$4&gt;=$E68,I$4&lt;=$F68),IF($D68="Milestone","D",1),""))</f>
        <v/>
      </c>
      <c r="J68" s="43" t="str">
        <f aca="false">IF($E68="","",IF(AND(J$4&gt;=$E68,J$4&lt;=$F68),IF($D68="Milestone","D",1),""))</f>
        <v/>
      </c>
      <c r="K68" s="43" t="str">
        <f aca="false">IF($E68="","",IF(AND(K$4&gt;=$E68,K$4&lt;=$F68),IF($D68="Milestone","D",1),""))</f>
        <v/>
      </c>
      <c r="L68" s="43" t="str">
        <f aca="false">IF($E68="","",IF(AND(L$4&gt;=$E68,L$4&lt;=$F68),IF($D68="Milestone","D",1),""))</f>
        <v/>
      </c>
      <c r="M68" s="43" t="str">
        <f aca="false">IF($E68="","",IF(AND(M$4&gt;=$E68,M$4&lt;=$F68),IF($D68="Milestone","D",1),""))</f>
        <v/>
      </c>
      <c r="N68" s="43" t="str">
        <f aca="false">IF($E68="","",IF(AND(N$4&gt;=$E68,N$4&lt;=$F68),IF($D68="Milestone","D",1),""))</f>
        <v/>
      </c>
      <c r="O68" s="43" t="str">
        <f aca="false">IF($E68="","",IF(AND(O$4&gt;=$E68,O$4&lt;=$F68),IF($D68="Milestone","D",1),""))</f>
        <v/>
      </c>
      <c r="P68" s="43" t="str">
        <f aca="false">IF($E68="","",IF(AND(P$4&gt;=$E68,P$4&lt;=$F68),IF($D68="Milestone","D",1),""))</f>
        <v/>
      </c>
      <c r="Q68" s="43" t="str">
        <f aca="false">IF($E68="","",IF(AND(Q$4&gt;=$E68,Q$4&lt;=$F68),IF($D68="Milestone","D",1),""))</f>
        <v/>
      </c>
      <c r="R68" s="43" t="str">
        <f aca="false">IF($E68="","",IF(AND(R$4&gt;=$E68,R$4&lt;=$F68),IF($D68="Milestone","D",1),""))</f>
        <v/>
      </c>
      <c r="S68" s="43" t="str">
        <f aca="false">IF($E68="","",IF(AND(S$4&gt;=$E68,S$4&lt;=$F68),IF($D68="Milestone","D",1),""))</f>
        <v/>
      </c>
      <c r="T68" s="43" t="str">
        <f aca="false">IF($E68="","",IF(AND(T$4&gt;=$E68,T$4&lt;=$F68),IF($D68="Milestone","D",1),""))</f>
        <v/>
      </c>
      <c r="U68" s="43" t="str">
        <f aca="false">IF($E68="","",IF(AND(U$4&gt;=$E68,U$4&lt;=$F68),IF($D68="Milestone","D",1),""))</f>
        <v/>
      </c>
      <c r="V68" s="43" t="str">
        <f aca="false">IF($E68="","",IF(AND(V$4&gt;=$E68,V$4&lt;=$F68),IF($D68="Milestone","D",1),""))</f>
        <v/>
      </c>
      <c r="W68" s="43" t="str">
        <f aca="false">IF($E68="","",IF(AND(W$4&gt;=$E68,W$4&lt;=$F68),IF($D68="Milestone","D",1),""))</f>
        <v/>
      </c>
      <c r="X68" s="43" t="str">
        <f aca="false">IF($E68="","",IF(AND(X$4&gt;=$E68,X$4&lt;=$F68),IF($D68="Milestone","D",1),""))</f>
        <v/>
      </c>
      <c r="Y68" s="43" t="n">
        <f aca="false">IF($E68="","",IF(AND(Y$4&gt;=$E68,Y$4&lt;=$F68),IF($D68="Milestone","D",1),""))</f>
        <v>1</v>
      </c>
      <c r="Z68" s="43" t="n">
        <f aca="false">IF($E68="","",IF(AND(Z$4&gt;=$E68,Z$4&lt;=$F68),IF($D68="Milestone","D",1),""))</f>
        <v>1</v>
      </c>
      <c r="AA68" s="43" t="str">
        <f aca="false">IF($E68="","",IF(AND(AA$4&gt;=$E68,AA$4&lt;=$F68),IF($D68="Milestone","D",1),""))</f>
        <v/>
      </c>
      <c r="AB68" s="43" t="str">
        <f aca="false">IF($E68="","",IF(AND(AB$4&gt;=$E68,AB$4&lt;=$F68),IF($D68="Milestone","D",1),""))</f>
        <v/>
      </c>
      <c r="AC68" s="43" t="str">
        <f aca="false">IF($E68="","",IF(AND(AC$4&gt;=$E68,AC$4&lt;=$F68),IF($D68="Milestone","D",1),""))</f>
        <v/>
      </c>
      <c r="AD68" s="43" t="str">
        <f aca="false">IF($E68="","",IF(AND(AD$4&gt;=$E68,AD$4&lt;=$F68),IF($D68="Milestone","D",1),""))</f>
        <v/>
      </c>
      <c r="AE68" s="43" t="str">
        <f aca="false">IF($E68="","",IF(AND(AE$4&gt;=$E68,AE$4&lt;=$F68),IF($D68="Milestone","D",1),""))</f>
        <v/>
      </c>
      <c r="AF68" s="43" t="str">
        <f aca="false">IF($E68="","",IF(AND(AF$4&gt;=$E68,AF$4&lt;=$F68),IF($D68="Milestone","D",1),""))</f>
        <v/>
      </c>
      <c r="AG68" s="43" t="str">
        <f aca="false">IF($E68="","",IF(AND(AG$4&gt;=$E68,AG$4&lt;=$F68),IF($D68="Milestone","D",1),""))</f>
        <v/>
      </c>
      <c r="AH68" s="43" t="str">
        <f aca="false">IF($E68="","",IF(AND(AH$4&gt;=$E68,AH$4&lt;=$F68),IF($D68="Milestone","D",1),""))</f>
        <v/>
      </c>
    </row>
    <row r="69" customFormat="false" ht="15" hidden="false" customHeight="false" outlineLevel="0" collapsed="false">
      <c r="A69" s="40" t="str">
        <f aca="false">WBS!A66</f>
        <v>CD-18</v>
      </c>
      <c r="B69" s="41" t="str">
        <f aca="false">WBS!B66</f>
        <v>Mass properties export</v>
      </c>
      <c r="C69" s="40" t="str">
        <f aca="false">WBS!E66</f>
        <v>Suvanna</v>
      </c>
      <c r="D69" s="40" t="str">
        <f aca="false">WBS!D66</f>
        <v>CAD Design</v>
      </c>
      <c r="E69" s="42" t="n">
        <f aca="false">WBS!L66</f>
        <v>46236</v>
      </c>
      <c r="F69" s="42" t="n">
        <f aca="false">WBS!M66</f>
        <v>46236</v>
      </c>
      <c r="G69" s="43" t="str">
        <f aca="false">IF($E69="","",IF(AND(G$4&gt;=$E69,G$4&lt;=$F69),IF($D69="Milestone","D",1),""))</f>
        <v/>
      </c>
      <c r="H69" s="43" t="str">
        <f aca="false">IF($E69="","",IF(AND(H$4&gt;=$E69,H$4&lt;=$F69),IF($D69="Milestone","D",1),""))</f>
        <v/>
      </c>
      <c r="I69" s="43" t="str">
        <f aca="false">IF($E69="","",IF(AND(I$4&gt;=$E69,I$4&lt;=$F69),IF($D69="Milestone","D",1),""))</f>
        <v/>
      </c>
      <c r="J69" s="43" t="str">
        <f aca="false">IF($E69="","",IF(AND(J$4&gt;=$E69,J$4&lt;=$F69),IF($D69="Milestone","D",1),""))</f>
        <v/>
      </c>
      <c r="K69" s="43" t="str">
        <f aca="false">IF($E69="","",IF(AND(K$4&gt;=$E69,K$4&lt;=$F69),IF($D69="Milestone","D",1),""))</f>
        <v/>
      </c>
      <c r="L69" s="43" t="str">
        <f aca="false">IF($E69="","",IF(AND(L$4&gt;=$E69,L$4&lt;=$F69),IF($D69="Milestone","D",1),""))</f>
        <v/>
      </c>
      <c r="M69" s="43" t="str">
        <f aca="false">IF($E69="","",IF(AND(M$4&gt;=$E69,M$4&lt;=$F69),IF($D69="Milestone","D",1),""))</f>
        <v/>
      </c>
      <c r="N69" s="43" t="str">
        <f aca="false">IF($E69="","",IF(AND(N$4&gt;=$E69,N$4&lt;=$F69),IF($D69="Milestone","D",1),""))</f>
        <v/>
      </c>
      <c r="O69" s="43" t="str">
        <f aca="false">IF($E69="","",IF(AND(O$4&gt;=$E69,O$4&lt;=$F69),IF($D69="Milestone","D",1),""))</f>
        <v/>
      </c>
      <c r="P69" s="43" t="str">
        <f aca="false">IF($E69="","",IF(AND(P$4&gt;=$E69,P$4&lt;=$F69),IF($D69="Milestone","D",1),""))</f>
        <v/>
      </c>
      <c r="Q69" s="43" t="n">
        <f aca="false">IF($E69="","",IF(AND(Q$4&gt;=$E69,Q$4&lt;=$F69),IF($D69="Milestone","D",1),""))</f>
        <v>1</v>
      </c>
      <c r="R69" s="43" t="str">
        <f aca="false">IF($E69="","",IF(AND(R$4&gt;=$E69,R$4&lt;=$F69),IF($D69="Milestone","D",1),""))</f>
        <v/>
      </c>
      <c r="S69" s="43" t="str">
        <f aca="false">IF($E69="","",IF(AND(S$4&gt;=$E69,S$4&lt;=$F69),IF($D69="Milestone","D",1),""))</f>
        <v/>
      </c>
      <c r="T69" s="43" t="str">
        <f aca="false">IF($E69="","",IF(AND(T$4&gt;=$E69,T$4&lt;=$F69),IF($D69="Milestone","D",1),""))</f>
        <v/>
      </c>
      <c r="U69" s="43" t="str">
        <f aca="false">IF($E69="","",IF(AND(U$4&gt;=$E69,U$4&lt;=$F69),IF($D69="Milestone","D",1),""))</f>
        <v/>
      </c>
      <c r="V69" s="43" t="str">
        <f aca="false">IF($E69="","",IF(AND(V$4&gt;=$E69,V$4&lt;=$F69),IF($D69="Milestone","D",1),""))</f>
        <v/>
      </c>
      <c r="W69" s="43" t="str">
        <f aca="false">IF($E69="","",IF(AND(W$4&gt;=$E69,W$4&lt;=$F69),IF($D69="Milestone","D",1),""))</f>
        <v/>
      </c>
      <c r="X69" s="43" t="str">
        <f aca="false">IF($E69="","",IF(AND(X$4&gt;=$E69,X$4&lt;=$F69),IF($D69="Milestone","D",1),""))</f>
        <v/>
      </c>
      <c r="Y69" s="43" t="str">
        <f aca="false">IF($E69="","",IF(AND(Y$4&gt;=$E69,Y$4&lt;=$F69),IF($D69="Milestone","D",1),""))</f>
        <v/>
      </c>
      <c r="Z69" s="43" t="str">
        <f aca="false">IF($E69="","",IF(AND(Z$4&gt;=$E69,Z$4&lt;=$F69),IF($D69="Milestone","D",1),""))</f>
        <v/>
      </c>
      <c r="AA69" s="43" t="str">
        <f aca="false">IF($E69="","",IF(AND(AA$4&gt;=$E69,AA$4&lt;=$F69),IF($D69="Milestone","D",1),""))</f>
        <v/>
      </c>
      <c r="AB69" s="43" t="str">
        <f aca="false">IF($E69="","",IF(AND(AB$4&gt;=$E69,AB$4&lt;=$F69),IF($D69="Milestone","D",1),""))</f>
        <v/>
      </c>
      <c r="AC69" s="43" t="str">
        <f aca="false">IF($E69="","",IF(AND(AC$4&gt;=$E69,AC$4&lt;=$F69),IF($D69="Milestone","D",1),""))</f>
        <v/>
      </c>
      <c r="AD69" s="43" t="str">
        <f aca="false">IF($E69="","",IF(AND(AD$4&gt;=$E69,AD$4&lt;=$F69),IF($D69="Milestone","D",1),""))</f>
        <v/>
      </c>
      <c r="AE69" s="43" t="str">
        <f aca="false">IF($E69="","",IF(AND(AE$4&gt;=$E69,AE$4&lt;=$F69),IF($D69="Milestone","D",1),""))</f>
        <v/>
      </c>
      <c r="AF69" s="43" t="str">
        <f aca="false">IF($E69="","",IF(AND(AF$4&gt;=$E69,AF$4&lt;=$F69),IF($D69="Milestone","D",1),""))</f>
        <v/>
      </c>
      <c r="AG69" s="43" t="str">
        <f aca="false">IF($E69="","",IF(AND(AG$4&gt;=$E69,AG$4&lt;=$F69),IF($D69="Milestone","D",1),""))</f>
        <v/>
      </c>
      <c r="AH69" s="43" t="str">
        <f aca="false">IF($E69="","",IF(AND(AH$4&gt;=$E69,AH$4&lt;=$F69),IF($D69="Milestone","D",1),""))</f>
        <v/>
      </c>
    </row>
    <row r="70" customFormat="false" ht="15" hidden="false" customHeight="false" outlineLevel="0" collapsed="false">
      <c r="A70" s="40" t="str">
        <f aca="false">WBS!A67</f>
        <v>CD-19</v>
      </c>
      <c r="B70" s="41" t="str">
        <f aca="false">WBS!B67</f>
        <v>CAD freeze v1</v>
      </c>
      <c r="C70" s="40" t="str">
        <f aca="false">WBS!E67</f>
        <v>Neisa</v>
      </c>
      <c r="D70" s="40" t="str">
        <f aca="false">WBS!D67</f>
        <v>CAD Design</v>
      </c>
      <c r="E70" s="42" t="n">
        <f aca="false">WBS!L67</f>
        <v>46237</v>
      </c>
      <c r="F70" s="42" t="n">
        <f aca="false">WBS!M67</f>
        <v>46237</v>
      </c>
      <c r="G70" s="43" t="str">
        <f aca="false">IF($E70="","",IF(AND(G$4&gt;=$E70,G$4&lt;=$F70),IF($D70="Milestone","D",1),""))</f>
        <v/>
      </c>
      <c r="H70" s="43" t="str">
        <f aca="false">IF($E70="","",IF(AND(H$4&gt;=$E70,H$4&lt;=$F70),IF($D70="Milestone","D",1),""))</f>
        <v/>
      </c>
      <c r="I70" s="43" t="str">
        <f aca="false">IF($E70="","",IF(AND(I$4&gt;=$E70,I$4&lt;=$F70),IF($D70="Milestone","D",1),""))</f>
        <v/>
      </c>
      <c r="J70" s="43" t="str">
        <f aca="false">IF($E70="","",IF(AND(J$4&gt;=$E70,J$4&lt;=$F70),IF($D70="Milestone","D",1),""))</f>
        <v/>
      </c>
      <c r="K70" s="43" t="str">
        <f aca="false">IF($E70="","",IF(AND(K$4&gt;=$E70,K$4&lt;=$F70),IF($D70="Milestone","D",1),""))</f>
        <v/>
      </c>
      <c r="L70" s="43" t="str">
        <f aca="false">IF($E70="","",IF(AND(L$4&gt;=$E70,L$4&lt;=$F70),IF($D70="Milestone","D",1),""))</f>
        <v/>
      </c>
      <c r="M70" s="43" t="str">
        <f aca="false">IF($E70="","",IF(AND(M$4&gt;=$E70,M$4&lt;=$F70),IF($D70="Milestone","D",1),""))</f>
        <v/>
      </c>
      <c r="N70" s="43" t="str">
        <f aca="false">IF($E70="","",IF(AND(N$4&gt;=$E70,N$4&lt;=$F70),IF($D70="Milestone","D",1),""))</f>
        <v/>
      </c>
      <c r="O70" s="43" t="str">
        <f aca="false">IF($E70="","",IF(AND(O$4&gt;=$E70,O$4&lt;=$F70),IF($D70="Milestone","D",1),""))</f>
        <v/>
      </c>
      <c r="P70" s="43" t="str">
        <f aca="false">IF($E70="","",IF(AND(P$4&gt;=$E70,P$4&lt;=$F70),IF($D70="Milestone","D",1),""))</f>
        <v/>
      </c>
      <c r="Q70" s="43" t="str">
        <f aca="false">IF($E70="","",IF(AND(Q$4&gt;=$E70,Q$4&lt;=$F70),IF($D70="Milestone","D",1),""))</f>
        <v/>
      </c>
      <c r="R70" s="43" t="n">
        <f aca="false">IF($E70="","",IF(AND(R$4&gt;=$E70,R$4&lt;=$F70),IF($D70="Milestone","D",1),""))</f>
        <v>1</v>
      </c>
      <c r="S70" s="43" t="str">
        <f aca="false">IF($E70="","",IF(AND(S$4&gt;=$E70,S$4&lt;=$F70),IF($D70="Milestone","D",1),""))</f>
        <v/>
      </c>
      <c r="T70" s="43" t="str">
        <f aca="false">IF($E70="","",IF(AND(T$4&gt;=$E70,T$4&lt;=$F70),IF($D70="Milestone","D",1),""))</f>
        <v/>
      </c>
      <c r="U70" s="43" t="str">
        <f aca="false">IF($E70="","",IF(AND(U$4&gt;=$E70,U$4&lt;=$F70),IF($D70="Milestone","D",1),""))</f>
        <v/>
      </c>
      <c r="V70" s="43" t="str">
        <f aca="false">IF($E70="","",IF(AND(V$4&gt;=$E70,V$4&lt;=$F70),IF($D70="Milestone","D",1),""))</f>
        <v/>
      </c>
      <c r="W70" s="43" t="str">
        <f aca="false">IF($E70="","",IF(AND(W$4&gt;=$E70,W$4&lt;=$F70),IF($D70="Milestone","D",1),""))</f>
        <v/>
      </c>
      <c r="X70" s="43" t="str">
        <f aca="false">IF($E70="","",IF(AND(X$4&gt;=$E70,X$4&lt;=$F70),IF($D70="Milestone","D",1),""))</f>
        <v/>
      </c>
      <c r="Y70" s="43" t="str">
        <f aca="false">IF($E70="","",IF(AND(Y$4&gt;=$E70,Y$4&lt;=$F70),IF($D70="Milestone","D",1),""))</f>
        <v/>
      </c>
      <c r="Z70" s="43" t="str">
        <f aca="false">IF($E70="","",IF(AND(Z$4&gt;=$E70,Z$4&lt;=$F70),IF($D70="Milestone","D",1),""))</f>
        <v/>
      </c>
      <c r="AA70" s="43" t="str">
        <f aca="false">IF($E70="","",IF(AND(AA$4&gt;=$E70,AA$4&lt;=$F70),IF($D70="Milestone","D",1),""))</f>
        <v/>
      </c>
      <c r="AB70" s="43" t="str">
        <f aca="false">IF($E70="","",IF(AND(AB$4&gt;=$E70,AB$4&lt;=$F70),IF($D70="Milestone","D",1),""))</f>
        <v/>
      </c>
      <c r="AC70" s="43" t="str">
        <f aca="false">IF($E70="","",IF(AND(AC$4&gt;=$E70,AC$4&lt;=$F70),IF($D70="Milestone","D",1),""))</f>
        <v/>
      </c>
      <c r="AD70" s="43" t="str">
        <f aca="false">IF($E70="","",IF(AND(AD$4&gt;=$E70,AD$4&lt;=$F70),IF($D70="Milestone","D",1),""))</f>
        <v/>
      </c>
      <c r="AE70" s="43" t="str">
        <f aca="false">IF($E70="","",IF(AND(AE$4&gt;=$E70,AE$4&lt;=$F70),IF($D70="Milestone","D",1),""))</f>
        <v/>
      </c>
      <c r="AF70" s="43" t="str">
        <f aca="false">IF($E70="","",IF(AND(AF$4&gt;=$E70,AF$4&lt;=$F70),IF($D70="Milestone","D",1),""))</f>
        <v/>
      </c>
      <c r="AG70" s="43" t="str">
        <f aca="false">IF($E70="","",IF(AND(AG$4&gt;=$E70,AG$4&lt;=$F70),IF($D70="Milestone","D",1),""))</f>
        <v/>
      </c>
      <c r="AH70" s="43" t="str">
        <f aca="false">IF($E70="","",IF(AND(AH$4&gt;=$E70,AH$4&lt;=$F70),IF($D70="Milestone","D",1),""))</f>
        <v/>
      </c>
    </row>
    <row r="71" customFormat="false" ht="15" hidden="false" customHeight="false" outlineLevel="0" collapsed="false">
      <c r="A71" s="40" t="str">
        <f aca="false">WBS!A68</f>
        <v>MF-01</v>
      </c>
      <c r="B71" s="41" t="str">
        <f aca="false">WBS!B68</f>
        <v>Procurement order</v>
      </c>
      <c r="C71" s="40" t="str">
        <f aca="false">WBS!E68</f>
        <v>Pablo</v>
      </c>
      <c r="D71" s="40" t="str">
        <f aca="false">WBS!D68</f>
        <v>Manufacturing &amp; Circuits</v>
      </c>
      <c r="E71" s="42" t="n">
        <f aca="false">WBS!L68</f>
        <v>46226</v>
      </c>
      <c r="F71" s="42" t="n">
        <f aca="false">WBS!M68</f>
        <v>46227</v>
      </c>
      <c r="G71" s="43" t="n">
        <f aca="false">IF($E71="","",IF(AND(G$4&gt;=$E71,G$4&lt;=$F71),IF($D71="Milestone","D",1),""))</f>
        <v>1</v>
      </c>
      <c r="H71" s="43" t="n">
        <f aca="false">IF($E71="","",IF(AND(H$4&gt;=$E71,H$4&lt;=$F71),IF($D71="Milestone","D",1),""))</f>
        <v>1</v>
      </c>
      <c r="I71" s="43" t="str">
        <f aca="false">IF($E71="","",IF(AND(I$4&gt;=$E71,I$4&lt;=$F71),IF($D71="Milestone","D",1),""))</f>
        <v/>
      </c>
      <c r="J71" s="43" t="str">
        <f aca="false">IF($E71="","",IF(AND(J$4&gt;=$E71,J$4&lt;=$F71),IF($D71="Milestone","D",1),""))</f>
        <v/>
      </c>
      <c r="K71" s="43" t="str">
        <f aca="false">IF($E71="","",IF(AND(K$4&gt;=$E71,K$4&lt;=$F71),IF($D71="Milestone","D",1),""))</f>
        <v/>
      </c>
      <c r="L71" s="43" t="str">
        <f aca="false">IF($E71="","",IF(AND(L$4&gt;=$E71,L$4&lt;=$F71),IF($D71="Milestone","D",1),""))</f>
        <v/>
      </c>
      <c r="M71" s="43" t="str">
        <f aca="false">IF($E71="","",IF(AND(M$4&gt;=$E71,M$4&lt;=$F71),IF($D71="Milestone","D",1),""))</f>
        <v/>
      </c>
      <c r="N71" s="43" t="str">
        <f aca="false">IF($E71="","",IF(AND(N$4&gt;=$E71,N$4&lt;=$F71),IF($D71="Milestone","D",1),""))</f>
        <v/>
      </c>
      <c r="O71" s="43" t="str">
        <f aca="false">IF($E71="","",IF(AND(O$4&gt;=$E71,O$4&lt;=$F71),IF($D71="Milestone","D",1),""))</f>
        <v/>
      </c>
      <c r="P71" s="43" t="str">
        <f aca="false">IF($E71="","",IF(AND(P$4&gt;=$E71,P$4&lt;=$F71),IF($D71="Milestone","D",1),""))</f>
        <v/>
      </c>
      <c r="Q71" s="43" t="str">
        <f aca="false">IF($E71="","",IF(AND(Q$4&gt;=$E71,Q$4&lt;=$F71),IF($D71="Milestone","D",1),""))</f>
        <v/>
      </c>
      <c r="R71" s="43" t="str">
        <f aca="false">IF($E71="","",IF(AND(R$4&gt;=$E71,R$4&lt;=$F71),IF($D71="Milestone","D",1),""))</f>
        <v/>
      </c>
      <c r="S71" s="43" t="str">
        <f aca="false">IF($E71="","",IF(AND(S$4&gt;=$E71,S$4&lt;=$F71),IF($D71="Milestone","D",1),""))</f>
        <v/>
      </c>
      <c r="T71" s="43" t="str">
        <f aca="false">IF($E71="","",IF(AND(T$4&gt;=$E71,T$4&lt;=$F71),IF($D71="Milestone","D",1),""))</f>
        <v/>
      </c>
      <c r="U71" s="43" t="str">
        <f aca="false">IF($E71="","",IF(AND(U$4&gt;=$E71,U$4&lt;=$F71),IF($D71="Milestone","D",1),""))</f>
        <v/>
      </c>
      <c r="V71" s="43" t="str">
        <f aca="false">IF($E71="","",IF(AND(V$4&gt;=$E71,V$4&lt;=$F71),IF($D71="Milestone","D",1),""))</f>
        <v/>
      </c>
      <c r="W71" s="43" t="str">
        <f aca="false">IF($E71="","",IF(AND(W$4&gt;=$E71,W$4&lt;=$F71),IF($D71="Milestone","D",1),""))</f>
        <v/>
      </c>
      <c r="X71" s="43" t="str">
        <f aca="false">IF($E71="","",IF(AND(X$4&gt;=$E71,X$4&lt;=$F71),IF($D71="Milestone","D",1),""))</f>
        <v/>
      </c>
      <c r="Y71" s="43" t="str">
        <f aca="false">IF($E71="","",IF(AND(Y$4&gt;=$E71,Y$4&lt;=$F71),IF($D71="Milestone","D",1),""))</f>
        <v/>
      </c>
      <c r="Z71" s="43" t="str">
        <f aca="false">IF($E71="","",IF(AND(Z$4&gt;=$E71,Z$4&lt;=$F71),IF($D71="Milestone","D",1),""))</f>
        <v/>
      </c>
      <c r="AA71" s="43" t="str">
        <f aca="false">IF($E71="","",IF(AND(AA$4&gt;=$E71,AA$4&lt;=$F71),IF($D71="Milestone","D",1),""))</f>
        <v/>
      </c>
      <c r="AB71" s="43" t="str">
        <f aca="false">IF($E71="","",IF(AND(AB$4&gt;=$E71,AB$4&lt;=$F71),IF($D71="Milestone","D",1),""))</f>
        <v/>
      </c>
      <c r="AC71" s="43" t="str">
        <f aca="false">IF($E71="","",IF(AND(AC$4&gt;=$E71,AC$4&lt;=$F71),IF($D71="Milestone","D",1),""))</f>
        <v/>
      </c>
      <c r="AD71" s="43" t="str">
        <f aca="false">IF($E71="","",IF(AND(AD$4&gt;=$E71,AD$4&lt;=$F71),IF($D71="Milestone","D",1),""))</f>
        <v/>
      </c>
      <c r="AE71" s="43" t="str">
        <f aca="false">IF($E71="","",IF(AND(AE$4&gt;=$E71,AE$4&lt;=$F71),IF($D71="Milestone","D",1),""))</f>
        <v/>
      </c>
      <c r="AF71" s="43" t="str">
        <f aca="false">IF($E71="","",IF(AND(AF$4&gt;=$E71,AF$4&lt;=$F71),IF($D71="Milestone","D",1),""))</f>
        <v/>
      </c>
      <c r="AG71" s="43" t="str">
        <f aca="false">IF($E71="","",IF(AND(AG$4&gt;=$E71,AG$4&lt;=$F71),IF($D71="Milestone","D",1),""))</f>
        <v/>
      </c>
      <c r="AH71" s="43" t="str">
        <f aca="false">IF($E71="","",IF(AND(AH$4&gt;=$E71,AH$4&lt;=$F71),IF($D71="Milestone","D",1),""))</f>
        <v/>
      </c>
    </row>
    <row r="72" customFormat="false" ht="15" hidden="false" customHeight="false" outlineLevel="0" collapsed="false">
      <c r="A72" s="40" t="str">
        <f aca="false">WBS!A69</f>
        <v>MF-02</v>
      </c>
      <c r="B72" s="41" t="str">
        <f aca="false">WBS!B69</f>
        <v>Bench PSU &amp; safety kit</v>
      </c>
      <c r="C72" s="40" t="str">
        <f aca="false">WBS!E69</f>
        <v>Pablo</v>
      </c>
      <c r="D72" s="40" t="str">
        <f aca="false">WBS!D69</f>
        <v>Manufacturing &amp; Circuits</v>
      </c>
      <c r="E72" s="42" t="n">
        <f aca="false">WBS!L69</f>
        <v>46226</v>
      </c>
      <c r="F72" s="42" t="n">
        <f aca="false">WBS!M69</f>
        <v>46227</v>
      </c>
      <c r="G72" s="43" t="n">
        <f aca="false">IF($E72="","",IF(AND(G$4&gt;=$E72,G$4&lt;=$F72),IF($D72="Milestone","D",1),""))</f>
        <v>1</v>
      </c>
      <c r="H72" s="43" t="n">
        <f aca="false">IF($E72="","",IF(AND(H$4&gt;=$E72,H$4&lt;=$F72),IF($D72="Milestone","D",1),""))</f>
        <v>1</v>
      </c>
      <c r="I72" s="43" t="str">
        <f aca="false">IF($E72="","",IF(AND(I$4&gt;=$E72,I$4&lt;=$F72),IF($D72="Milestone","D",1),""))</f>
        <v/>
      </c>
      <c r="J72" s="43" t="str">
        <f aca="false">IF($E72="","",IF(AND(J$4&gt;=$E72,J$4&lt;=$F72),IF($D72="Milestone","D",1),""))</f>
        <v/>
      </c>
      <c r="K72" s="43" t="str">
        <f aca="false">IF($E72="","",IF(AND(K$4&gt;=$E72,K$4&lt;=$F72),IF($D72="Milestone","D",1),""))</f>
        <v/>
      </c>
      <c r="L72" s="43" t="str">
        <f aca="false">IF($E72="","",IF(AND(L$4&gt;=$E72,L$4&lt;=$F72),IF($D72="Milestone","D",1),""))</f>
        <v/>
      </c>
      <c r="M72" s="43" t="str">
        <f aca="false">IF($E72="","",IF(AND(M$4&gt;=$E72,M$4&lt;=$F72),IF($D72="Milestone","D",1),""))</f>
        <v/>
      </c>
      <c r="N72" s="43" t="str">
        <f aca="false">IF($E72="","",IF(AND(N$4&gt;=$E72,N$4&lt;=$F72),IF($D72="Milestone","D",1),""))</f>
        <v/>
      </c>
      <c r="O72" s="43" t="str">
        <f aca="false">IF($E72="","",IF(AND(O$4&gt;=$E72,O$4&lt;=$F72),IF($D72="Milestone","D",1),""))</f>
        <v/>
      </c>
      <c r="P72" s="43" t="str">
        <f aca="false">IF($E72="","",IF(AND(P$4&gt;=$E72,P$4&lt;=$F72),IF($D72="Milestone","D",1),""))</f>
        <v/>
      </c>
      <c r="Q72" s="43" t="str">
        <f aca="false">IF($E72="","",IF(AND(Q$4&gt;=$E72,Q$4&lt;=$F72),IF($D72="Milestone","D",1),""))</f>
        <v/>
      </c>
      <c r="R72" s="43" t="str">
        <f aca="false">IF($E72="","",IF(AND(R$4&gt;=$E72,R$4&lt;=$F72),IF($D72="Milestone","D",1),""))</f>
        <v/>
      </c>
      <c r="S72" s="43" t="str">
        <f aca="false">IF($E72="","",IF(AND(S$4&gt;=$E72,S$4&lt;=$F72),IF($D72="Milestone","D",1),""))</f>
        <v/>
      </c>
      <c r="T72" s="43" t="str">
        <f aca="false">IF($E72="","",IF(AND(T$4&gt;=$E72,T$4&lt;=$F72),IF($D72="Milestone","D",1),""))</f>
        <v/>
      </c>
      <c r="U72" s="43" t="str">
        <f aca="false">IF($E72="","",IF(AND(U$4&gt;=$E72,U$4&lt;=$F72),IF($D72="Milestone","D",1),""))</f>
        <v/>
      </c>
      <c r="V72" s="43" t="str">
        <f aca="false">IF($E72="","",IF(AND(V$4&gt;=$E72,V$4&lt;=$F72),IF($D72="Milestone","D",1),""))</f>
        <v/>
      </c>
      <c r="W72" s="43" t="str">
        <f aca="false">IF($E72="","",IF(AND(W$4&gt;=$E72,W$4&lt;=$F72),IF($D72="Milestone","D",1),""))</f>
        <v/>
      </c>
      <c r="X72" s="43" t="str">
        <f aca="false">IF($E72="","",IF(AND(X$4&gt;=$E72,X$4&lt;=$F72),IF($D72="Milestone","D",1),""))</f>
        <v/>
      </c>
      <c r="Y72" s="43" t="str">
        <f aca="false">IF($E72="","",IF(AND(Y$4&gt;=$E72,Y$4&lt;=$F72),IF($D72="Milestone","D",1),""))</f>
        <v/>
      </c>
      <c r="Z72" s="43" t="str">
        <f aca="false">IF($E72="","",IF(AND(Z$4&gt;=$E72,Z$4&lt;=$F72),IF($D72="Milestone","D",1),""))</f>
        <v/>
      </c>
      <c r="AA72" s="43" t="str">
        <f aca="false">IF($E72="","",IF(AND(AA$4&gt;=$E72,AA$4&lt;=$F72),IF($D72="Milestone","D",1),""))</f>
        <v/>
      </c>
      <c r="AB72" s="43" t="str">
        <f aca="false">IF($E72="","",IF(AND(AB$4&gt;=$E72,AB$4&lt;=$F72),IF($D72="Milestone","D",1),""))</f>
        <v/>
      </c>
      <c r="AC72" s="43" t="str">
        <f aca="false">IF($E72="","",IF(AND(AC$4&gt;=$E72,AC$4&lt;=$F72),IF($D72="Milestone","D",1),""))</f>
        <v/>
      </c>
      <c r="AD72" s="43" t="str">
        <f aca="false">IF($E72="","",IF(AND(AD$4&gt;=$E72,AD$4&lt;=$F72),IF($D72="Milestone","D",1),""))</f>
        <v/>
      </c>
      <c r="AE72" s="43" t="str">
        <f aca="false">IF($E72="","",IF(AND(AE$4&gt;=$E72,AE$4&lt;=$F72),IF($D72="Milestone","D",1),""))</f>
        <v/>
      </c>
      <c r="AF72" s="43" t="str">
        <f aca="false">IF($E72="","",IF(AND(AF$4&gt;=$E72,AF$4&lt;=$F72),IF($D72="Milestone","D",1),""))</f>
        <v/>
      </c>
      <c r="AG72" s="43" t="str">
        <f aca="false">IF($E72="","",IF(AND(AG$4&gt;=$E72,AG$4&lt;=$F72),IF($D72="Milestone","D",1),""))</f>
        <v/>
      </c>
      <c r="AH72" s="43" t="str">
        <f aca="false">IF($E72="","",IF(AND(AH$4&gt;=$E72,AH$4&lt;=$F72),IF($D72="Milestone","D",1),""))</f>
        <v/>
      </c>
    </row>
    <row r="73" customFormat="false" ht="15" hidden="false" customHeight="false" outlineLevel="0" collapsed="false">
      <c r="A73" s="40" t="str">
        <f aca="false">WBS!A70</f>
        <v>MF-03</v>
      </c>
      <c r="B73" s="41" t="str">
        <f aca="false">WBS!B70</f>
        <v>Bench bring-up (1 axis)</v>
      </c>
      <c r="C73" s="40" t="str">
        <f aca="false">WBS!E70</f>
        <v>Pablo</v>
      </c>
      <c r="D73" s="40" t="str">
        <f aca="false">WBS!D70</f>
        <v>Manufacturing &amp; Circuits</v>
      </c>
      <c r="E73" s="42" t="n">
        <f aca="false">WBS!L70</f>
        <v>46228</v>
      </c>
      <c r="F73" s="42" t="n">
        <f aca="false">WBS!M70</f>
        <v>46230</v>
      </c>
      <c r="G73" s="43" t="str">
        <f aca="false">IF($E73="","",IF(AND(G$4&gt;=$E73,G$4&lt;=$F73),IF($D73="Milestone","D",1),""))</f>
        <v/>
      </c>
      <c r="H73" s="43" t="str">
        <f aca="false">IF($E73="","",IF(AND(H$4&gt;=$E73,H$4&lt;=$F73),IF($D73="Milestone","D",1),""))</f>
        <v/>
      </c>
      <c r="I73" s="43" t="n">
        <f aca="false">IF($E73="","",IF(AND(I$4&gt;=$E73,I$4&lt;=$F73),IF($D73="Milestone","D",1),""))</f>
        <v>1</v>
      </c>
      <c r="J73" s="43" t="n">
        <f aca="false">IF($E73="","",IF(AND(J$4&gt;=$E73,J$4&lt;=$F73),IF($D73="Milestone","D",1),""))</f>
        <v>1</v>
      </c>
      <c r="K73" s="43" t="n">
        <f aca="false">IF($E73="","",IF(AND(K$4&gt;=$E73,K$4&lt;=$F73),IF($D73="Milestone","D",1),""))</f>
        <v>1</v>
      </c>
      <c r="L73" s="43" t="str">
        <f aca="false">IF($E73="","",IF(AND(L$4&gt;=$E73,L$4&lt;=$F73),IF($D73="Milestone","D",1),""))</f>
        <v/>
      </c>
      <c r="M73" s="43" t="str">
        <f aca="false">IF($E73="","",IF(AND(M$4&gt;=$E73,M$4&lt;=$F73),IF($D73="Milestone","D",1),""))</f>
        <v/>
      </c>
      <c r="N73" s="43" t="str">
        <f aca="false">IF($E73="","",IF(AND(N$4&gt;=$E73,N$4&lt;=$F73),IF($D73="Milestone","D",1),""))</f>
        <v/>
      </c>
      <c r="O73" s="43" t="str">
        <f aca="false">IF($E73="","",IF(AND(O$4&gt;=$E73,O$4&lt;=$F73),IF($D73="Milestone","D",1),""))</f>
        <v/>
      </c>
      <c r="P73" s="43" t="str">
        <f aca="false">IF($E73="","",IF(AND(P$4&gt;=$E73,P$4&lt;=$F73),IF($D73="Milestone","D",1),""))</f>
        <v/>
      </c>
      <c r="Q73" s="43" t="str">
        <f aca="false">IF($E73="","",IF(AND(Q$4&gt;=$E73,Q$4&lt;=$F73),IF($D73="Milestone","D",1),""))</f>
        <v/>
      </c>
      <c r="R73" s="43" t="str">
        <f aca="false">IF($E73="","",IF(AND(R$4&gt;=$E73,R$4&lt;=$F73),IF($D73="Milestone","D",1),""))</f>
        <v/>
      </c>
      <c r="S73" s="43" t="str">
        <f aca="false">IF($E73="","",IF(AND(S$4&gt;=$E73,S$4&lt;=$F73),IF($D73="Milestone","D",1),""))</f>
        <v/>
      </c>
      <c r="T73" s="43" t="str">
        <f aca="false">IF($E73="","",IF(AND(T$4&gt;=$E73,T$4&lt;=$F73),IF($D73="Milestone","D",1),""))</f>
        <v/>
      </c>
      <c r="U73" s="43" t="str">
        <f aca="false">IF($E73="","",IF(AND(U$4&gt;=$E73,U$4&lt;=$F73),IF($D73="Milestone","D",1),""))</f>
        <v/>
      </c>
      <c r="V73" s="43" t="str">
        <f aca="false">IF($E73="","",IF(AND(V$4&gt;=$E73,V$4&lt;=$F73),IF($D73="Milestone","D",1),""))</f>
        <v/>
      </c>
      <c r="W73" s="43" t="str">
        <f aca="false">IF($E73="","",IF(AND(W$4&gt;=$E73,W$4&lt;=$F73),IF($D73="Milestone","D",1),""))</f>
        <v/>
      </c>
      <c r="X73" s="43" t="str">
        <f aca="false">IF($E73="","",IF(AND(X$4&gt;=$E73,X$4&lt;=$F73),IF($D73="Milestone","D",1),""))</f>
        <v/>
      </c>
      <c r="Y73" s="43" t="str">
        <f aca="false">IF($E73="","",IF(AND(Y$4&gt;=$E73,Y$4&lt;=$F73),IF($D73="Milestone","D",1),""))</f>
        <v/>
      </c>
      <c r="Z73" s="43" t="str">
        <f aca="false">IF($E73="","",IF(AND(Z$4&gt;=$E73,Z$4&lt;=$F73),IF($D73="Milestone","D",1),""))</f>
        <v/>
      </c>
      <c r="AA73" s="43" t="str">
        <f aca="false">IF($E73="","",IF(AND(AA$4&gt;=$E73,AA$4&lt;=$F73),IF($D73="Milestone","D",1),""))</f>
        <v/>
      </c>
      <c r="AB73" s="43" t="str">
        <f aca="false">IF($E73="","",IF(AND(AB$4&gt;=$E73,AB$4&lt;=$F73),IF($D73="Milestone","D",1),""))</f>
        <v/>
      </c>
      <c r="AC73" s="43" t="str">
        <f aca="false">IF($E73="","",IF(AND(AC$4&gt;=$E73,AC$4&lt;=$F73),IF($D73="Milestone","D",1),""))</f>
        <v/>
      </c>
      <c r="AD73" s="43" t="str">
        <f aca="false">IF($E73="","",IF(AND(AD$4&gt;=$E73,AD$4&lt;=$F73),IF($D73="Milestone","D",1),""))</f>
        <v/>
      </c>
      <c r="AE73" s="43" t="str">
        <f aca="false">IF($E73="","",IF(AND(AE$4&gt;=$E73,AE$4&lt;=$F73),IF($D73="Milestone","D",1),""))</f>
        <v/>
      </c>
      <c r="AF73" s="43" t="str">
        <f aca="false">IF($E73="","",IF(AND(AF$4&gt;=$E73,AF$4&lt;=$F73),IF($D73="Milestone","D",1),""))</f>
        <v/>
      </c>
      <c r="AG73" s="43" t="str">
        <f aca="false">IF($E73="","",IF(AND(AG$4&gt;=$E73,AG$4&lt;=$F73),IF($D73="Milestone","D",1),""))</f>
        <v/>
      </c>
      <c r="AH73" s="43" t="str">
        <f aca="false">IF($E73="","",IF(AND(AH$4&gt;=$E73,AH$4&lt;=$F73),IF($D73="Milestone","D",1),""))</f>
        <v/>
      </c>
    </row>
    <row r="74" customFormat="false" ht="15" hidden="false" customHeight="false" outlineLevel="0" collapsed="false">
      <c r="A74" s="40" t="str">
        <f aca="false">WBS!A71</f>
        <v>MF-04</v>
      </c>
      <c r="B74" s="41" t="str">
        <f aca="false">WBS!B71</f>
        <v>Print queue A - jigs</v>
      </c>
      <c r="C74" s="40" t="str">
        <f aca="false">WBS!E71</f>
        <v>Neisa</v>
      </c>
      <c r="D74" s="40" t="str">
        <f aca="false">WBS!D71</f>
        <v>Manufacturing &amp; Circuits</v>
      </c>
      <c r="E74" s="42" t="n">
        <f aca="false">WBS!L71</f>
        <v>46228</v>
      </c>
      <c r="F74" s="42" t="n">
        <f aca="false">WBS!M71</f>
        <v>46229</v>
      </c>
      <c r="G74" s="43" t="str">
        <f aca="false">IF($E74="","",IF(AND(G$4&gt;=$E74,G$4&lt;=$F74),IF($D74="Milestone","D",1),""))</f>
        <v/>
      </c>
      <c r="H74" s="43" t="str">
        <f aca="false">IF($E74="","",IF(AND(H$4&gt;=$E74,H$4&lt;=$F74),IF($D74="Milestone","D",1),""))</f>
        <v/>
      </c>
      <c r="I74" s="43" t="n">
        <f aca="false">IF($E74="","",IF(AND(I$4&gt;=$E74,I$4&lt;=$F74),IF($D74="Milestone","D",1),""))</f>
        <v>1</v>
      </c>
      <c r="J74" s="43" t="n">
        <f aca="false">IF($E74="","",IF(AND(J$4&gt;=$E74,J$4&lt;=$F74),IF($D74="Milestone","D",1),""))</f>
        <v>1</v>
      </c>
      <c r="K74" s="43" t="str">
        <f aca="false">IF($E74="","",IF(AND(K$4&gt;=$E74,K$4&lt;=$F74),IF($D74="Milestone","D",1),""))</f>
        <v/>
      </c>
      <c r="L74" s="43" t="str">
        <f aca="false">IF($E74="","",IF(AND(L$4&gt;=$E74,L$4&lt;=$F74),IF($D74="Milestone","D",1),""))</f>
        <v/>
      </c>
      <c r="M74" s="43" t="str">
        <f aca="false">IF($E74="","",IF(AND(M$4&gt;=$E74,M$4&lt;=$F74),IF($D74="Milestone","D",1),""))</f>
        <v/>
      </c>
      <c r="N74" s="43" t="str">
        <f aca="false">IF($E74="","",IF(AND(N$4&gt;=$E74,N$4&lt;=$F74),IF($D74="Milestone","D",1),""))</f>
        <v/>
      </c>
      <c r="O74" s="43" t="str">
        <f aca="false">IF($E74="","",IF(AND(O$4&gt;=$E74,O$4&lt;=$F74),IF($D74="Milestone","D",1),""))</f>
        <v/>
      </c>
      <c r="P74" s="43" t="str">
        <f aca="false">IF($E74="","",IF(AND(P$4&gt;=$E74,P$4&lt;=$F74),IF($D74="Milestone","D",1),""))</f>
        <v/>
      </c>
      <c r="Q74" s="43" t="str">
        <f aca="false">IF($E74="","",IF(AND(Q$4&gt;=$E74,Q$4&lt;=$F74),IF($D74="Milestone","D",1),""))</f>
        <v/>
      </c>
      <c r="R74" s="43" t="str">
        <f aca="false">IF($E74="","",IF(AND(R$4&gt;=$E74,R$4&lt;=$F74),IF($D74="Milestone","D",1),""))</f>
        <v/>
      </c>
      <c r="S74" s="43" t="str">
        <f aca="false">IF($E74="","",IF(AND(S$4&gt;=$E74,S$4&lt;=$F74),IF($D74="Milestone","D",1),""))</f>
        <v/>
      </c>
      <c r="T74" s="43" t="str">
        <f aca="false">IF($E74="","",IF(AND(T$4&gt;=$E74,T$4&lt;=$F74),IF($D74="Milestone","D",1),""))</f>
        <v/>
      </c>
      <c r="U74" s="43" t="str">
        <f aca="false">IF($E74="","",IF(AND(U$4&gt;=$E74,U$4&lt;=$F74),IF($D74="Milestone","D",1),""))</f>
        <v/>
      </c>
      <c r="V74" s="43" t="str">
        <f aca="false">IF($E74="","",IF(AND(V$4&gt;=$E74,V$4&lt;=$F74),IF($D74="Milestone","D",1),""))</f>
        <v/>
      </c>
      <c r="W74" s="43" t="str">
        <f aca="false">IF($E74="","",IF(AND(W$4&gt;=$E74,W$4&lt;=$F74),IF($D74="Milestone","D",1),""))</f>
        <v/>
      </c>
      <c r="X74" s="43" t="str">
        <f aca="false">IF($E74="","",IF(AND(X$4&gt;=$E74,X$4&lt;=$F74),IF($D74="Milestone","D",1),""))</f>
        <v/>
      </c>
      <c r="Y74" s="43" t="str">
        <f aca="false">IF($E74="","",IF(AND(Y$4&gt;=$E74,Y$4&lt;=$F74),IF($D74="Milestone","D",1),""))</f>
        <v/>
      </c>
      <c r="Z74" s="43" t="str">
        <f aca="false">IF($E74="","",IF(AND(Z$4&gt;=$E74,Z$4&lt;=$F74),IF($D74="Milestone","D",1),""))</f>
        <v/>
      </c>
      <c r="AA74" s="43" t="str">
        <f aca="false">IF($E74="","",IF(AND(AA$4&gt;=$E74,AA$4&lt;=$F74),IF($D74="Milestone","D",1),""))</f>
        <v/>
      </c>
      <c r="AB74" s="43" t="str">
        <f aca="false">IF($E74="","",IF(AND(AB$4&gt;=$E74,AB$4&lt;=$F74),IF($D74="Milestone","D",1),""))</f>
        <v/>
      </c>
      <c r="AC74" s="43" t="str">
        <f aca="false">IF($E74="","",IF(AND(AC$4&gt;=$E74,AC$4&lt;=$F74),IF($D74="Milestone","D",1),""))</f>
        <v/>
      </c>
      <c r="AD74" s="43" t="str">
        <f aca="false">IF($E74="","",IF(AND(AD$4&gt;=$E74,AD$4&lt;=$F74),IF($D74="Milestone","D",1),""))</f>
        <v/>
      </c>
      <c r="AE74" s="43" t="str">
        <f aca="false">IF($E74="","",IF(AND(AE$4&gt;=$E74,AE$4&lt;=$F74),IF($D74="Milestone","D",1),""))</f>
        <v/>
      </c>
      <c r="AF74" s="43" t="str">
        <f aca="false">IF($E74="","",IF(AND(AF$4&gt;=$E74,AF$4&lt;=$F74),IF($D74="Milestone","D",1),""))</f>
        <v/>
      </c>
      <c r="AG74" s="43" t="str">
        <f aca="false">IF($E74="","",IF(AND(AG$4&gt;=$E74,AG$4&lt;=$F74),IF($D74="Milestone","D",1),""))</f>
        <v/>
      </c>
      <c r="AH74" s="43" t="str">
        <f aca="false">IF($E74="","",IF(AND(AH$4&gt;=$E74,AH$4&lt;=$F74),IF($D74="Milestone","D",1),""))</f>
        <v/>
      </c>
    </row>
    <row r="75" customFormat="false" ht="15" hidden="false" customHeight="false" outlineLevel="0" collapsed="false">
      <c r="A75" s="40" t="str">
        <f aca="false">WBS!A72</f>
        <v>MF-05</v>
      </c>
      <c r="B75" s="41" t="str">
        <f aca="false">WBS!B72</f>
        <v>Print queue B - S1 parts</v>
      </c>
      <c r="C75" s="40" t="str">
        <f aca="false">WBS!E72</f>
        <v>Neisa</v>
      </c>
      <c r="D75" s="40" t="str">
        <f aca="false">WBS!D72</f>
        <v>Manufacturing &amp; Circuits</v>
      </c>
      <c r="E75" s="42" t="n">
        <f aca="false">WBS!L72</f>
        <v>46230</v>
      </c>
      <c r="F75" s="42" t="n">
        <f aca="false">WBS!M72</f>
        <v>46231</v>
      </c>
      <c r="G75" s="43" t="str">
        <f aca="false">IF($E75="","",IF(AND(G$4&gt;=$E75,G$4&lt;=$F75),IF($D75="Milestone","D",1),""))</f>
        <v/>
      </c>
      <c r="H75" s="43" t="str">
        <f aca="false">IF($E75="","",IF(AND(H$4&gt;=$E75,H$4&lt;=$F75),IF($D75="Milestone","D",1),""))</f>
        <v/>
      </c>
      <c r="I75" s="43" t="str">
        <f aca="false">IF($E75="","",IF(AND(I$4&gt;=$E75,I$4&lt;=$F75),IF($D75="Milestone","D",1),""))</f>
        <v/>
      </c>
      <c r="J75" s="43" t="str">
        <f aca="false">IF($E75="","",IF(AND(J$4&gt;=$E75,J$4&lt;=$F75),IF($D75="Milestone","D",1),""))</f>
        <v/>
      </c>
      <c r="K75" s="43" t="n">
        <f aca="false">IF($E75="","",IF(AND(K$4&gt;=$E75,K$4&lt;=$F75),IF($D75="Milestone","D",1),""))</f>
        <v>1</v>
      </c>
      <c r="L75" s="43" t="n">
        <f aca="false">IF($E75="","",IF(AND(L$4&gt;=$E75,L$4&lt;=$F75),IF($D75="Milestone","D",1),""))</f>
        <v>1</v>
      </c>
      <c r="M75" s="43" t="str">
        <f aca="false">IF($E75="","",IF(AND(M$4&gt;=$E75,M$4&lt;=$F75),IF($D75="Milestone","D",1),""))</f>
        <v/>
      </c>
      <c r="N75" s="43" t="str">
        <f aca="false">IF($E75="","",IF(AND(N$4&gt;=$E75,N$4&lt;=$F75),IF($D75="Milestone","D",1),""))</f>
        <v/>
      </c>
      <c r="O75" s="43" t="str">
        <f aca="false">IF($E75="","",IF(AND(O$4&gt;=$E75,O$4&lt;=$F75),IF($D75="Milestone","D",1),""))</f>
        <v/>
      </c>
      <c r="P75" s="43" t="str">
        <f aca="false">IF($E75="","",IF(AND(P$4&gt;=$E75,P$4&lt;=$F75),IF($D75="Milestone","D",1),""))</f>
        <v/>
      </c>
      <c r="Q75" s="43" t="str">
        <f aca="false">IF($E75="","",IF(AND(Q$4&gt;=$E75,Q$4&lt;=$F75),IF($D75="Milestone","D",1),""))</f>
        <v/>
      </c>
      <c r="R75" s="43" t="str">
        <f aca="false">IF($E75="","",IF(AND(R$4&gt;=$E75,R$4&lt;=$F75),IF($D75="Milestone","D",1),""))</f>
        <v/>
      </c>
      <c r="S75" s="43" t="str">
        <f aca="false">IF($E75="","",IF(AND(S$4&gt;=$E75,S$4&lt;=$F75),IF($D75="Milestone","D",1),""))</f>
        <v/>
      </c>
      <c r="T75" s="43" t="str">
        <f aca="false">IF($E75="","",IF(AND(T$4&gt;=$E75,T$4&lt;=$F75),IF($D75="Milestone","D",1),""))</f>
        <v/>
      </c>
      <c r="U75" s="43" t="str">
        <f aca="false">IF($E75="","",IF(AND(U$4&gt;=$E75,U$4&lt;=$F75),IF($D75="Milestone","D",1),""))</f>
        <v/>
      </c>
      <c r="V75" s="43" t="str">
        <f aca="false">IF($E75="","",IF(AND(V$4&gt;=$E75,V$4&lt;=$F75),IF($D75="Milestone","D",1),""))</f>
        <v/>
      </c>
      <c r="W75" s="43" t="str">
        <f aca="false">IF($E75="","",IF(AND(W$4&gt;=$E75,W$4&lt;=$F75),IF($D75="Milestone","D",1),""))</f>
        <v/>
      </c>
      <c r="X75" s="43" t="str">
        <f aca="false">IF($E75="","",IF(AND(X$4&gt;=$E75,X$4&lt;=$F75),IF($D75="Milestone","D",1),""))</f>
        <v/>
      </c>
      <c r="Y75" s="43" t="str">
        <f aca="false">IF($E75="","",IF(AND(Y$4&gt;=$E75,Y$4&lt;=$F75),IF($D75="Milestone","D",1),""))</f>
        <v/>
      </c>
      <c r="Z75" s="43" t="str">
        <f aca="false">IF($E75="","",IF(AND(Z$4&gt;=$E75,Z$4&lt;=$F75),IF($D75="Milestone","D",1),""))</f>
        <v/>
      </c>
      <c r="AA75" s="43" t="str">
        <f aca="false">IF($E75="","",IF(AND(AA$4&gt;=$E75,AA$4&lt;=$F75),IF($D75="Milestone","D",1),""))</f>
        <v/>
      </c>
      <c r="AB75" s="43" t="str">
        <f aca="false">IF($E75="","",IF(AND(AB$4&gt;=$E75,AB$4&lt;=$F75),IF($D75="Milestone","D",1),""))</f>
        <v/>
      </c>
      <c r="AC75" s="43" t="str">
        <f aca="false">IF($E75="","",IF(AND(AC$4&gt;=$E75,AC$4&lt;=$F75),IF($D75="Milestone","D",1),""))</f>
        <v/>
      </c>
      <c r="AD75" s="43" t="str">
        <f aca="false">IF($E75="","",IF(AND(AD$4&gt;=$E75,AD$4&lt;=$F75),IF($D75="Milestone","D",1),""))</f>
        <v/>
      </c>
      <c r="AE75" s="43" t="str">
        <f aca="false">IF($E75="","",IF(AND(AE$4&gt;=$E75,AE$4&lt;=$F75),IF($D75="Milestone","D",1),""))</f>
        <v/>
      </c>
      <c r="AF75" s="43" t="str">
        <f aca="false">IF($E75="","",IF(AND(AF$4&gt;=$E75,AF$4&lt;=$F75),IF($D75="Milestone","D",1),""))</f>
        <v/>
      </c>
      <c r="AG75" s="43" t="str">
        <f aca="false">IF($E75="","",IF(AND(AG$4&gt;=$E75,AG$4&lt;=$F75),IF($D75="Milestone","D",1),""))</f>
        <v/>
      </c>
      <c r="AH75" s="43" t="str">
        <f aca="false">IF($E75="","",IF(AND(AH$4&gt;=$E75,AH$4&lt;=$F75),IF($D75="Milestone","D",1),""))</f>
        <v/>
      </c>
    </row>
    <row r="76" customFormat="false" ht="15" hidden="false" customHeight="false" outlineLevel="0" collapsed="false">
      <c r="A76" s="40" t="str">
        <f aca="false">WBS!A73</f>
        <v>MF-06</v>
      </c>
      <c r="B76" s="41" t="str">
        <f aca="false">WBS!B73</f>
        <v>Fabricate wheels x4</v>
      </c>
      <c r="C76" s="40" t="str">
        <f aca="false">WBS!E73</f>
        <v>Suvanna</v>
      </c>
      <c r="D76" s="40" t="str">
        <f aca="false">WBS!D73</f>
        <v>Manufacturing &amp; Circuits</v>
      </c>
      <c r="E76" s="42" t="n">
        <f aca="false">WBS!L73</f>
        <v>46231</v>
      </c>
      <c r="F76" s="42" t="n">
        <f aca="false">WBS!M73</f>
        <v>46233</v>
      </c>
      <c r="G76" s="43" t="str">
        <f aca="false">IF($E76="","",IF(AND(G$4&gt;=$E76,G$4&lt;=$F76),IF($D76="Milestone","D",1),""))</f>
        <v/>
      </c>
      <c r="H76" s="43" t="str">
        <f aca="false">IF($E76="","",IF(AND(H$4&gt;=$E76,H$4&lt;=$F76),IF($D76="Milestone","D",1),""))</f>
        <v/>
      </c>
      <c r="I76" s="43" t="str">
        <f aca="false">IF($E76="","",IF(AND(I$4&gt;=$E76,I$4&lt;=$F76),IF($D76="Milestone","D",1),""))</f>
        <v/>
      </c>
      <c r="J76" s="43" t="str">
        <f aca="false">IF($E76="","",IF(AND(J$4&gt;=$E76,J$4&lt;=$F76),IF($D76="Milestone","D",1),""))</f>
        <v/>
      </c>
      <c r="K76" s="43" t="str">
        <f aca="false">IF($E76="","",IF(AND(K$4&gt;=$E76,K$4&lt;=$F76),IF($D76="Milestone","D",1),""))</f>
        <v/>
      </c>
      <c r="L76" s="43" t="n">
        <f aca="false">IF($E76="","",IF(AND(L$4&gt;=$E76,L$4&lt;=$F76),IF($D76="Milestone","D",1),""))</f>
        <v>1</v>
      </c>
      <c r="M76" s="43" t="n">
        <f aca="false">IF($E76="","",IF(AND(M$4&gt;=$E76,M$4&lt;=$F76),IF($D76="Milestone","D",1),""))</f>
        <v>1</v>
      </c>
      <c r="N76" s="43" t="n">
        <f aca="false">IF($E76="","",IF(AND(N$4&gt;=$E76,N$4&lt;=$F76),IF($D76="Milestone","D",1),""))</f>
        <v>1</v>
      </c>
      <c r="O76" s="43" t="str">
        <f aca="false">IF($E76="","",IF(AND(O$4&gt;=$E76,O$4&lt;=$F76),IF($D76="Milestone","D",1),""))</f>
        <v/>
      </c>
      <c r="P76" s="43" t="str">
        <f aca="false">IF($E76="","",IF(AND(P$4&gt;=$E76,P$4&lt;=$F76),IF($D76="Milestone","D",1),""))</f>
        <v/>
      </c>
      <c r="Q76" s="43" t="str">
        <f aca="false">IF($E76="","",IF(AND(Q$4&gt;=$E76,Q$4&lt;=$F76),IF($D76="Milestone","D",1),""))</f>
        <v/>
      </c>
      <c r="R76" s="43" t="str">
        <f aca="false">IF($E76="","",IF(AND(R$4&gt;=$E76,R$4&lt;=$F76),IF($D76="Milestone","D",1),""))</f>
        <v/>
      </c>
      <c r="S76" s="43" t="str">
        <f aca="false">IF($E76="","",IF(AND(S$4&gt;=$E76,S$4&lt;=$F76),IF($D76="Milestone","D",1),""))</f>
        <v/>
      </c>
      <c r="T76" s="43" t="str">
        <f aca="false">IF($E76="","",IF(AND(T$4&gt;=$E76,T$4&lt;=$F76),IF($D76="Milestone","D",1),""))</f>
        <v/>
      </c>
      <c r="U76" s="43" t="str">
        <f aca="false">IF($E76="","",IF(AND(U$4&gt;=$E76,U$4&lt;=$F76),IF($D76="Milestone","D",1),""))</f>
        <v/>
      </c>
      <c r="V76" s="43" t="str">
        <f aca="false">IF($E76="","",IF(AND(V$4&gt;=$E76,V$4&lt;=$F76),IF($D76="Milestone","D",1),""))</f>
        <v/>
      </c>
      <c r="W76" s="43" t="str">
        <f aca="false">IF($E76="","",IF(AND(W$4&gt;=$E76,W$4&lt;=$F76),IF($D76="Milestone","D",1),""))</f>
        <v/>
      </c>
      <c r="X76" s="43" t="str">
        <f aca="false">IF($E76="","",IF(AND(X$4&gt;=$E76,X$4&lt;=$F76),IF($D76="Milestone","D",1),""))</f>
        <v/>
      </c>
      <c r="Y76" s="43" t="str">
        <f aca="false">IF($E76="","",IF(AND(Y$4&gt;=$E76,Y$4&lt;=$F76),IF($D76="Milestone","D",1),""))</f>
        <v/>
      </c>
      <c r="Z76" s="43" t="str">
        <f aca="false">IF($E76="","",IF(AND(Z$4&gt;=$E76,Z$4&lt;=$F76),IF($D76="Milestone","D",1),""))</f>
        <v/>
      </c>
      <c r="AA76" s="43" t="str">
        <f aca="false">IF($E76="","",IF(AND(AA$4&gt;=$E76,AA$4&lt;=$F76),IF($D76="Milestone","D",1),""))</f>
        <v/>
      </c>
      <c r="AB76" s="43" t="str">
        <f aca="false">IF($E76="","",IF(AND(AB$4&gt;=$E76,AB$4&lt;=$F76),IF($D76="Milestone","D",1),""))</f>
        <v/>
      </c>
      <c r="AC76" s="43" t="str">
        <f aca="false">IF($E76="","",IF(AND(AC$4&gt;=$E76,AC$4&lt;=$F76),IF($D76="Milestone","D",1),""))</f>
        <v/>
      </c>
      <c r="AD76" s="43" t="str">
        <f aca="false">IF($E76="","",IF(AND(AD$4&gt;=$E76,AD$4&lt;=$F76),IF($D76="Milestone","D",1),""))</f>
        <v/>
      </c>
      <c r="AE76" s="43" t="str">
        <f aca="false">IF($E76="","",IF(AND(AE$4&gt;=$E76,AE$4&lt;=$F76),IF($D76="Milestone","D",1),""))</f>
        <v/>
      </c>
      <c r="AF76" s="43" t="str">
        <f aca="false">IF($E76="","",IF(AND(AF$4&gt;=$E76,AF$4&lt;=$F76),IF($D76="Milestone","D",1),""))</f>
        <v/>
      </c>
      <c r="AG76" s="43" t="str">
        <f aca="false">IF($E76="","",IF(AND(AG$4&gt;=$E76,AG$4&lt;=$F76),IF($D76="Milestone","D",1),""))</f>
        <v/>
      </c>
      <c r="AH76" s="43" t="str">
        <f aca="false">IF($E76="","",IF(AND(AH$4&gt;=$E76,AH$4&lt;=$F76),IF($D76="Milestone","D",1),""))</f>
        <v/>
      </c>
    </row>
    <row r="77" customFormat="false" ht="15" hidden="false" customHeight="false" outlineLevel="0" collapsed="false">
      <c r="A77" s="40" t="str">
        <f aca="false">WBS!A74</f>
        <v>MF-07</v>
      </c>
      <c r="B77" s="41" t="str">
        <f aca="false">WBS!B74</f>
        <v>Balance &amp; spin test</v>
      </c>
      <c r="C77" s="40" t="str">
        <f aca="false">WBS!E74</f>
        <v>Suvanna</v>
      </c>
      <c r="D77" s="40" t="str">
        <f aca="false">WBS!D74</f>
        <v>Manufacturing &amp; Circuits</v>
      </c>
      <c r="E77" s="42" t="n">
        <f aca="false">WBS!L74</f>
        <v>46233</v>
      </c>
      <c r="F77" s="42" t="n">
        <f aca="false">WBS!M74</f>
        <v>46234</v>
      </c>
      <c r="G77" s="43" t="str">
        <f aca="false">IF($E77="","",IF(AND(G$4&gt;=$E77,G$4&lt;=$F77),IF($D77="Milestone","D",1),""))</f>
        <v/>
      </c>
      <c r="H77" s="43" t="str">
        <f aca="false">IF($E77="","",IF(AND(H$4&gt;=$E77,H$4&lt;=$F77),IF($D77="Milestone","D",1),""))</f>
        <v/>
      </c>
      <c r="I77" s="43" t="str">
        <f aca="false">IF($E77="","",IF(AND(I$4&gt;=$E77,I$4&lt;=$F77),IF($D77="Milestone","D",1),""))</f>
        <v/>
      </c>
      <c r="J77" s="43" t="str">
        <f aca="false">IF($E77="","",IF(AND(J$4&gt;=$E77,J$4&lt;=$F77),IF($D77="Milestone","D",1),""))</f>
        <v/>
      </c>
      <c r="K77" s="43" t="str">
        <f aca="false">IF($E77="","",IF(AND(K$4&gt;=$E77,K$4&lt;=$F77),IF($D77="Milestone","D",1),""))</f>
        <v/>
      </c>
      <c r="L77" s="43" t="str">
        <f aca="false">IF($E77="","",IF(AND(L$4&gt;=$E77,L$4&lt;=$F77),IF($D77="Milestone","D",1),""))</f>
        <v/>
      </c>
      <c r="M77" s="43" t="str">
        <f aca="false">IF($E77="","",IF(AND(M$4&gt;=$E77,M$4&lt;=$F77),IF($D77="Milestone","D",1),""))</f>
        <v/>
      </c>
      <c r="N77" s="43" t="n">
        <f aca="false">IF($E77="","",IF(AND(N$4&gt;=$E77,N$4&lt;=$F77),IF($D77="Milestone","D",1),""))</f>
        <v>1</v>
      </c>
      <c r="O77" s="43" t="n">
        <f aca="false">IF($E77="","",IF(AND(O$4&gt;=$E77,O$4&lt;=$F77),IF($D77="Milestone","D",1),""))</f>
        <v>1</v>
      </c>
      <c r="P77" s="43" t="str">
        <f aca="false">IF($E77="","",IF(AND(P$4&gt;=$E77,P$4&lt;=$F77),IF($D77="Milestone","D",1),""))</f>
        <v/>
      </c>
      <c r="Q77" s="43" t="str">
        <f aca="false">IF($E77="","",IF(AND(Q$4&gt;=$E77,Q$4&lt;=$F77),IF($D77="Milestone","D",1),""))</f>
        <v/>
      </c>
      <c r="R77" s="43" t="str">
        <f aca="false">IF($E77="","",IF(AND(R$4&gt;=$E77,R$4&lt;=$F77),IF($D77="Milestone","D",1),""))</f>
        <v/>
      </c>
      <c r="S77" s="43" t="str">
        <f aca="false">IF($E77="","",IF(AND(S$4&gt;=$E77,S$4&lt;=$F77),IF($D77="Milestone","D",1),""))</f>
        <v/>
      </c>
      <c r="T77" s="43" t="str">
        <f aca="false">IF($E77="","",IF(AND(T$4&gt;=$E77,T$4&lt;=$F77),IF($D77="Milestone","D",1),""))</f>
        <v/>
      </c>
      <c r="U77" s="43" t="str">
        <f aca="false">IF($E77="","",IF(AND(U$4&gt;=$E77,U$4&lt;=$F77),IF($D77="Milestone","D",1),""))</f>
        <v/>
      </c>
      <c r="V77" s="43" t="str">
        <f aca="false">IF($E77="","",IF(AND(V$4&gt;=$E77,V$4&lt;=$F77),IF($D77="Milestone","D",1),""))</f>
        <v/>
      </c>
      <c r="W77" s="43" t="str">
        <f aca="false">IF($E77="","",IF(AND(W$4&gt;=$E77,W$4&lt;=$F77),IF($D77="Milestone","D",1),""))</f>
        <v/>
      </c>
      <c r="X77" s="43" t="str">
        <f aca="false">IF($E77="","",IF(AND(X$4&gt;=$E77,X$4&lt;=$F77),IF($D77="Milestone","D",1),""))</f>
        <v/>
      </c>
      <c r="Y77" s="43" t="str">
        <f aca="false">IF($E77="","",IF(AND(Y$4&gt;=$E77,Y$4&lt;=$F77),IF($D77="Milestone","D",1),""))</f>
        <v/>
      </c>
      <c r="Z77" s="43" t="str">
        <f aca="false">IF($E77="","",IF(AND(Z$4&gt;=$E77,Z$4&lt;=$F77),IF($D77="Milestone","D",1),""))</f>
        <v/>
      </c>
      <c r="AA77" s="43" t="str">
        <f aca="false">IF($E77="","",IF(AND(AA$4&gt;=$E77,AA$4&lt;=$F77),IF($D77="Milestone","D",1),""))</f>
        <v/>
      </c>
      <c r="AB77" s="43" t="str">
        <f aca="false">IF($E77="","",IF(AND(AB$4&gt;=$E77,AB$4&lt;=$F77),IF($D77="Milestone","D",1),""))</f>
        <v/>
      </c>
      <c r="AC77" s="43" t="str">
        <f aca="false">IF($E77="","",IF(AND(AC$4&gt;=$E77,AC$4&lt;=$F77),IF($D77="Milestone","D",1),""))</f>
        <v/>
      </c>
      <c r="AD77" s="43" t="str">
        <f aca="false">IF($E77="","",IF(AND(AD$4&gt;=$E77,AD$4&lt;=$F77),IF($D77="Milestone","D",1),""))</f>
        <v/>
      </c>
      <c r="AE77" s="43" t="str">
        <f aca="false">IF($E77="","",IF(AND(AE$4&gt;=$E77,AE$4&lt;=$F77),IF($D77="Milestone","D",1),""))</f>
        <v/>
      </c>
      <c r="AF77" s="43" t="str">
        <f aca="false">IF($E77="","",IF(AND(AF$4&gt;=$E77,AF$4&lt;=$F77),IF($D77="Milestone","D",1),""))</f>
        <v/>
      </c>
      <c r="AG77" s="43" t="str">
        <f aca="false">IF($E77="","",IF(AND(AG$4&gt;=$E77,AG$4&lt;=$F77),IF($D77="Milestone","D",1),""))</f>
        <v/>
      </c>
      <c r="AH77" s="43" t="str">
        <f aca="false">IF($E77="","",IF(AND(AH$4&gt;=$E77,AH$4&lt;=$F77),IF($D77="Milestone","D",1),""))</f>
        <v/>
      </c>
    </row>
    <row r="78" customFormat="false" ht="15" hidden="false" customHeight="false" outlineLevel="0" collapsed="false">
      <c r="A78" s="40" t="str">
        <f aca="false">WBS!A75</f>
        <v>MF-08</v>
      </c>
      <c r="B78" s="41" t="str">
        <f aca="false">WBS!B75</f>
        <v>Assemble 1-DoF rig</v>
      </c>
      <c r="C78" s="40" t="str">
        <f aca="false">WBS!E75</f>
        <v>Pablo</v>
      </c>
      <c r="D78" s="40" t="str">
        <f aca="false">WBS!D75</f>
        <v>Manufacturing &amp; Circuits</v>
      </c>
      <c r="E78" s="42" t="n">
        <f aca="false">WBS!L75</f>
        <v>46234</v>
      </c>
      <c r="F78" s="42" t="n">
        <f aca="false">WBS!M75</f>
        <v>46235</v>
      </c>
      <c r="G78" s="43" t="str">
        <f aca="false">IF($E78="","",IF(AND(G$4&gt;=$E78,G$4&lt;=$F78),IF($D78="Milestone","D",1),""))</f>
        <v/>
      </c>
      <c r="H78" s="43" t="str">
        <f aca="false">IF($E78="","",IF(AND(H$4&gt;=$E78,H$4&lt;=$F78),IF($D78="Milestone","D",1),""))</f>
        <v/>
      </c>
      <c r="I78" s="43" t="str">
        <f aca="false">IF($E78="","",IF(AND(I$4&gt;=$E78,I$4&lt;=$F78),IF($D78="Milestone","D",1),""))</f>
        <v/>
      </c>
      <c r="J78" s="43" t="str">
        <f aca="false">IF($E78="","",IF(AND(J$4&gt;=$E78,J$4&lt;=$F78),IF($D78="Milestone","D",1),""))</f>
        <v/>
      </c>
      <c r="K78" s="43" t="str">
        <f aca="false">IF($E78="","",IF(AND(K$4&gt;=$E78,K$4&lt;=$F78),IF($D78="Milestone","D",1),""))</f>
        <v/>
      </c>
      <c r="L78" s="43" t="str">
        <f aca="false">IF($E78="","",IF(AND(L$4&gt;=$E78,L$4&lt;=$F78),IF($D78="Milestone","D",1),""))</f>
        <v/>
      </c>
      <c r="M78" s="43" t="str">
        <f aca="false">IF($E78="","",IF(AND(M$4&gt;=$E78,M$4&lt;=$F78),IF($D78="Milestone","D",1),""))</f>
        <v/>
      </c>
      <c r="N78" s="43" t="str">
        <f aca="false">IF($E78="","",IF(AND(N$4&gt;=$E78,N$4&lt;=$F78),IF($D78="Milestone","D",1),""))</f>
        <v/>
      </c>
      <c r="O78" s="43" t="n">
        <f aca="false">IF($E78="","",IF(AND(O$4&gt;=$E78,O$4&lt;=$F78),IF($D78="Milestone","D",1),""))</f>
        <v>1</v>
      </c>
      <c r="P78" s="43" t="n">
        <f aca="false">IF($E78="","",IF(AND(P$4&gt;=$E78,P$4&lt;=$F78),IF($D78="Milestone","D",1),""))</f>
        <v>1</v>
      </c>
      <c r="Q78" s="43" t="str">
        <f aca="false">IF($E78="","",IF(AND(Q$4&gt;=$E78,Q$4&lt;=$F78),IF($D78="Milestone","D",1),""))</f>
        <v/>
      </c>
      <c r="R78" s="43" t="str">
        <f aca="false">IF($E78="","",IF(AND(R$4&gt;=$E78,R$4&lt;=$F78),IF($D78="Milestone","D",1),""))</f>
        <v/>
      </c>
      <c r="S78" s="43" t="str">
        <f aca="false">IF($E78="","",IF(AND(S$4&gt;=$E78,S$4&lt;=$F78),IF($D78="Milestone","D",1),""))</f>
        <v/>
      </c>
      <c r="T78" s="43" t="str">
        <f aca="false">IF($E78="","",IF(AND(T$4&gt;=$E78,T$4&lt;=$F78),IF($D78="Milestone","D",1),""))</f>
        <v/>
      </c>
      <c r="U78" s="43" t="str">
        <f aca="false">IF($E78="","",IF(AND(U$4&gt;=$E78,U$4&lt;=$F78),IF($D78="Milestone","D",1),""))</f>
        <v/>
      </c>
      <c r="V78" s="43" t="str">
        <f aca="false">IF($E78="","",IF(AND(V$4&gt;=$E78,V$4&lt;=$F78),IF($D78="Milestone","D",1),""))</f>
        <v/>
      </c>
      <c r="W78" s="43" t="str">
        <f aca="false">IF($E78="","",IF(AND(W$4&gt;=$E78,W$4&lt;=$F78),IF($D78="Milestone","D",1),""))</f>
        <v/>
      </c>
      <c r="X78" s="43" t="str">
        <f aca="false">IF($E78="","",IF(AND(X$4&gt;=$E78,X$4&lt;=$F78),IF($D78="Milestone","D",1),""))</f>
        <v/>
      </c>
      <c r="Y78" s="43" t="str">
        <f aca="false">IF($E78="","",IF(AND(Y$4&gt;=$E78,Y$4&lt;=$F78),IF($D78="Milestone","D",1),""))</f>
        <v/>
      </c>
      <c r="Z78" s="43" t="str">
        <f aca="false">IF($E78="","",IF(AND(Z$4&gt;=$E78,Z$4&lt;=$F78),IF($D78="Milestone","D",1),""))</f>
        <v/>
      </c>
      <c r="AA78" s="43" t="str">
        <f aca="false">IF($E78="","",IF(AND(AA$4&gt;=$E78,AA$4&lt;=$F78),IF($D78="Milestone","D",1),""))</f>
        <v/>
      </c>
      <c r="AB78" s="43" t="str">
        <f aca="false">IF($E78="","",IF(AND(AB$4&gt;=$E78,AB$4&lt;=$F78),IF($D78="Milestone","D",1),""))</f>
        <v/>
      </c>
      <c r="AC78" s="43" t="str">
        <f aca="false">IF($E78="","",IF(AND(AC$4&gt;=$E78,AC$4&lt;=$F78),IF($D78="Milestone","D",1),""))</f>
        <v/>
      </c>
      <c r="AD78" s="43" t="str">
        <f aca="false">IF($E78="","",IF(AND(AD$4&gt;=$E78,AD$4&lt;=$F78),IF($D78="Milestone","D",1),""))</f>
        <v/>
      </c>
      <c r="AE78" s="43" t="str">
        <f aca="false">IF($E78="","",IF(AND(AE$4&gt;=$E78,AE$4&lt;=$F78),IF($D78="Milestone","D",1),""))</f>
        <v/>
      </c>
      <c r="AF78" s="43" t="str">
        <f aca="false">IF($E78="","",IF(AND(AF$4&gt;=$E78,AF$4&lt;=$F78),IF($D78="Milestone","D",1),""))</f>
        <v/>
      </c>
      <c r="AG78" s="43" t="str">
        <f aca="false">IF($E78="","",IF(AND(AG$4&gt;=$E78,AG$4&lt;=$F78),IF($D78="Milestone","D",1),""))</f>
        <v/>
      </c>
      <c r="AH78" s="43" t="str">
        <f aca="false">IF($E78="","",IF(AND(AH$4&gt;=$E78,AH$4&lt;=$F78),IF($D78="Milestone","D",1),""))</f>
        <v/>
      </c>
    </row>
    <row r="79" customFormat="false" ht="15" hidden="false" customHeight="false" outlineLevel="0" collapsed="false">
      <c r="A79" s="40" t="str">
        <f aca="false">WBS!A76</f>
        <v>MF-09</v>
      </c>
      <c r="B79" s="41" t="str">
        <f aca="false">WBS!B76</f>
        <v>Power &amp; signal schematic</v>
      </c>
      <c r="C79" s="40" t="str">
        <f aca="false">WBS!E76</f>
        <v>Pablo</v>
      </c>
      <c r="D79" s="40" t="str">
        <f aca="false">WBS!D76</f>
        <v>Manufacturing &amp; Circuits</v>
      </c>
      <c r="E79" s="42" t="n">
        <f aca="false">WBS!L76</f>
        <v>46232</v>
      </c>
      <c r="F79" s="42" t="n">
        <f aca="false">WBS!M76</f>
        <v>46232</v>
      </c>
      <c r="G79" s="43" t="str">
        <f aca="false">IF($E79="","",IF(AND(G$4&gt;=$E79,G$4&lt;=$F79),IF($D79="Milestone","D",1),""))</f>
        <v/>
      </c>
      <c r="H79" s="43" t="str">
        <f aca="false">IF($E79="","",IF(AND(H$4&gt;=$E79,H$4&lt;=$F79),IF($D79="Milestone","D",1),""))</f>
        <v/>
      </c>
      <c r="I79" s="43" t="str">
        <f aca="false">IF($E79="","",IF(AND(I$4&gt;=$E79,I$4&lt;=$F79),IF($D79="Milestone","D",1),""))</f>
        <v/>
      </c>
      <c r="J79" s="43" t="str">
        <f aca="false">IF($E79="","",IF(AND(J$4&gt;=$E79,J$4&lt;=$F79),IF($D79="Milestone","D",1),""))</f>
        <v/>
      </c>
      <c r="K79" s="43" t="str">
        <f aca="false">IF($E79="","",IF(AND(K$4&gt;=$E79,K$4&lt;=$F79),IF($D79="Milestone","D",1),""))</f>
        <v/>
      </c>
      <c r="L79" s="43" t="str">
        <f aca="false">IF($E79="","",IF(AND(L$4&gt;=$E79,L$4&lt;=$F79),IF($D79="Milestone","D",1),""))</f>
        <v/>
      </c>
      <c r="M79" s="43" t="n">
        <f aca="false">IF($E79="","",IF(AND(M$4&gt;=$E79,M$4&lt;=$F79),IF($D79="Milestone","D",1),""))</f>
        <v>1</v>
      </c>
      <c r="N79" s="43" t="str">
        <f aca="false">IF($E79="","",IF(AND(N$4&gt;=$E79,N$4&lt;=$F79),IF($D79="Milestone","D",1),""))</f>
        <v/>
      </c>
      <c r="O79" s="43" t="str">
        <f aca="false">IF($E79="","",IF(AND(O$4&gt;=$E79,O$4&lt;=$F79),IF($D79="Milestone","D",1),""))</f>
        <v/>
      </c>
      <c r="P79" s="43" t="str">
        <f aca="false">IF($E79="","",IF(AND(P$4&gt;=$E79,P$4&lt;=$F79),IF($D79="Milestone","D",1),""))</f>
        <v/>
      </c>
      <c r="Q79" s="43" t="str">
        <f aca="false">IF($E79="","",IF(AND(Q$4&gt;=$E79,Q$4&lt;=$F79),IF($D79="Milestone","D",1),""))</f>
        <v/>
      </c>
      <c r="R79" s="43" t="str">
        <f aca="false">IF($E79="","",IF(AND(R$4&gt;=$E79,R$4&lt;=$F79),IF($D79="Milestone","D",1),""))</f>
        <v/>
      </c>
      <c r="S79" s="43" t="str">
        <f aca="false">IF($E79="","",IF(AND(S$4&gt;=$E79,S$4&lt;=$F79),IF($D79="Milestone","D",1),""))</f>
        <v/>
      </c>
      <c r="T79" s="43" t="str">
        <f aca="false">IF($E79="","",IF(AND(T$4&gt;=$E79,T$4&lt;=$F79),IF($D79="Milestone","D",1),""))</f>
        <v/>
      </c>
      <c r="U79" s="43" t="str">
        <f aca="false">IF($E79="","",IF(AND(U$4&gt;=$E79,U$4&lt;=$F79),IF($D79="Milestone","D",1),""))</f>
        <v/>
      </c>
      <c r="V79" s="43" t="str">
        <f aca="false">IF($E79="","",IF(AND(V$4&gt;=$E79,V$4&lt;=$F79),IF($D79="Milestone","D",1),""))</f>
        <v/>
      </c>
      <c r="W79" s="43" t="str">
        <f aca="false">IF($E79="","",IF(AND(W$4&gt;=$E79,W$4&lt;=$F79),IF($D79="Milestone","D",1),""))</f>
        <v/>
      </c>
      <c r="X79" s="43" t="str">
        <f aca="false">IF($E79="","",IF(AND(X$4&gt;=$E79,X$4&lt;=$F79),IF($D79="Milestone","D",1),""))</f>
        <v/>
      </c>
      <c r="Y79" s="43" t="str">
        <f aca="false">IF($E79="","",IF(AND(Y$4&gt;=$E79,Y$4&lt;=$F79),IF($D79="Milestone","D",1),""))</f>
        <v/>
      </c>
      <c r="Z79" s="43" t="str">
        <f aca="false">IF($E79="","",IF(AND(Z$4&gt;=$E79,Z$4&lt;=$F79),IF($D79="Milestone","D",1),""))</f>
        <v/>
      </c>
      <c r="AA79" s="43" t="str">
        <f aca="false">IF($E79="","",IF(AND(AA$4&gt;=$E79,AA$4&lt;=$F79),IF($D79="Milestone","D",1),""))</f>
        <v/>
      </c>
      <c r="AB79" s="43" t="str">
        <f aca="false">IF($E79="","",IF(AND(AB$4&gt;=$E79,AB$4&lt;=$F79),IF($D79="Milestone","D",1),""))</f>
        <v/>
      </c>
      <c r="AC79" s="43" t="str">
        <f aca="false">IF($E79="","",IF(AND(AC$4&gt;=$E79,AC$4&lt;=$F79),IF($D79="Milestone","D",1),""))</f>
        <v/>
      </c>
      <c r="AD79" s="43" t="str">
        <f aca="false">IF($E79="","",IF(AND(AD$4&gt;=$E79,AD$4&lt;=$F79),IF($D79="Milestone","D",1),""))</f>
        <v/>
      </c>
      <c r="AE79" s="43" t="str">
        <f aca="false">IF($E79="","",IF(AND(AE$4&gt;=$E79,AE$4&lt;=$F79),IF($D79="Milestone","D",1),""))</f>
        <v/>
      </c>
      <c r="AF79" s="43" t="str">
        <f aca="false">IF($E79="","",IF(AND(AF$4&gt;=$E79,AF$4&lt;=$F79),IF($D79="Milestone","D",1),""))</f>
        <v/>
      </c>
      <c r="AG79" s="43" t="str">
        <f aca="false">IF($E79="","",IF(AND(AG$4&gt;=$E79,AG$4&lt;=$F79),IF($D79="Milestone","D",1),""))</f>
        <v/>
      </c>
      <c r="AH79" s="43" t="str">
        <f aca="false">IF($E79="","",IF(AND(AH$4&gt;=$E79,AH$4&lt;=$F79),IF($D79="Milestone","D",1),""))</f>
        <v/>
      </c>
    </row>
    <row r="80" customFormat="false" ht="15" hidden="false" customHeight="false" outlineLevel="0" collapsed="false">
      <c r="A80" s="40" t="str">
        <f aca="false">WBS!A77</f>
        <v>MF-10</v>
      </c>
      <c r="B80" s="41" t="str">
        <f aca="false">WBS!B77</f>
        <v>Build perfboard</v>
      </c>
      <c r="C80" s="40" t="str">
        <f aca="false">WBS!E77</f>
        <v>Pablo</v>
      </c>
      <c r="D80" s="40" t="str">
        <f aca="false">WBS!D77</f>
        <v>Manufacturing &amp; Circuits</v>
      </c>
      <c r="E80" s="42" t="n">
        <f aca="false">WBS!L77</f>
        <v>46237</v>
      </c>
      <c r="F80" s="42" t="n">
        <f aca="false">WBS!M77</f>
        <v>46239</v>
      </c>
      <c r="G80" s="43" t="str">
        <f aca="false">IF($E80="","",IF(AND(G$4&gt;=$E80,G$4&lt;=$F80),IF($D80="Milestone","D",1),""))</f>
        <v/>
      </c>
      <c r="H80" s="43" t="str">
        <f aca="false">IF($E80="","",IF(AND(H$4&gt;=$E80,H$4&lt;=$F80),IF($D80="Milestone","D",1),""))</f>
        <v/>
      </c>
      <c r="I80" s="43" t="str">
        <f aca="false">IF($E80="","",IF(AND(I$4&gt;=$E80,I$4&lt;=$F80),IF($D80="Milestone","D",1),""))</f>
        <v/>
      </c>
      <c r="J80" s="43" t="str">
        <f aca="false">IF($E80="","",IF(AND(J$4&gt;=$E80,J$4&lt;=$F80),IF($D80="Milestone","D",1),""))</f>
        <v/>
      </c>
      <c r="K80" s="43" t="str">
        <f aca="false">IF($E80="","",IF(AND(K$4&gt;=$E80,K$4&lt;=$F80),IF($D80="Milestone","D",1),""))</f>
        <v/>
      </c>
      <c r="L80" s="43" t="str">
        <f aca="false">IF($E80="","",IF(AND(L$4&gt;=$E80,L$4&lt;=$F80),IF($D80="Milestone","D",1),""))</f>
        <v/>
      </c>
      <c r="M80" s="43" t="str">
        <f aca="false">IF($E80="","",IF(AND(M$4&gt;=$E80,M$4&lt;=$F80),IF($D80="Milestone","D",1),""))</f>
        <v/>
      </c>
      <c r="N80" s="43" t="str">
        <f aca="false">IF($E80="","",IF(AND(N$4&gt;=$E80,N$4&lt;=$F80),IF($D80="Milestone","D",1),""))</f>
        <v/>
      </c>
      <c r="O80" s="43" t="str">
        <f aca="false">IF($E80="","",IF(AND(O$4&gt;=$E80,O$4&lt;=$F80),IF($D80="Milestone","D",1),""))</f>
        <v/>
      </c>
      <c r="P80" s="43" t="str">
        <f aca="false">IF($E80="","",IF(AND(P$4&gt;=$E80,P$4&lt;=$F80),IF($D80="Milestone","D",1),""))</f>
        <v/>
      </c>
      <c r="Q80" s="43" t="str">
        <f aca="false">IF($E80="","",IF(AND(Q$4&gt;=$E80,Q$4&lt;=$F80),IF($D80="Milestone","D",1),""))</f>
        <v/>
      </c>
      <c r="R80" s="43" t="n">
        <f aca="false">IF($E80="","",IF(AND(R$4&gt;=$E80,R$4&lt;=$F80),IF($D80="Milestone","D",1),""))</f>
        <v>1</v>
      </c>
      <c r="S80" s="43" t="n">
        <f aca="false">IF($E80="","",IF(AND(S$4&gt;=$E80,S$4&lt;=$F80),IF($D80="Milestone","D",1),""))</f>
        <v>1</v>
      </c>
      <c r="T80" s="43" t="n">
        <f aca="false">IF($E80="","",IF(AND(T$4&gt;=$E80,T$4&lt;=$F80),IF($D80="Milestone","D",1),""))</f>
        <v>1</v>
      </c>
      <c r="U80" s="43" t="str">
        <f aca="false">IF($E80="","",IF(AND(U$4&gt;=$E80,U$4&lt;=$F80),IF($D80="Milestone","D",1),""))</f>
        <v/>
      </c>
      <c r="V80" s="43" t="str">
        <f aca="false">IF($E80="","",IF(AND(V$4&gt;=$E80,V$4&lt;=$F80),IF($D80="Milestone","D",1),""))</f>
        <v/>
      </c>
      <c r="W80" s="43" t="str">
        <f aca="false">IF($E80="","",IF(AND(W$4&gt;=$E80,W$4&lt;=$F80),IF($D80="Milestone","D",1),""))</f>
        <v/>
      </c>
      <c r="X80" s="43" t="str">
        <f aca="false">IF($E80="","",IF(AND(X$4&gt;=$E80,X$4&lt;=$F80),IF($D80="Milestone","D",1),""))</f>
        <v/>
      </c>
      <c r="Y80" s="43" t="str">
        <f aca="false">IF($E80="","",IF(AND(Y$4&gt;=$E80,Y$4&lt;=$F80),IF($D80="Milestone","D",1),""))</f>
        <v/>
      </c>
      <c r="Z80" s="43" t="str">
        <f aca="false">IF($E80="","",IF(AND(Z$4&gt;=$E80,Z$4&lt;=$F80),IF($D80="Milestone","D",1),""))</f>
        <v/>
      </c>
      <c r="AA80" s="43" t="str">
        <f aca="false">IF($E80="","",IF(AND(AA$4&gt;=$E80,AA$4&lt;=$F80),IF($D80="Milestone","D",1),""))</f>
        <v/>
      </c>
      <c r="AB80" s="43" t="str">
        <f aca="false">IF($E80="","",IF(AND(AB$4&gt;=$E80,AB$4&lt;=$F80),IF($D80="Milestone","D",1),""))</f>
        <v/>
      </c>
      <c r="AC80" s="43" t="str">
        <f aca="false">IF($E80="","",IF(AND(AC$4&gt;=$E80,AC$4&lt;=$F80),IF($D80="Milestone","D",1),""))</f>
        <v/>
      </c>
      <c r="AD80" s="43" t="str">
        <f aca="false">IF($E80="","",IF(AND(AD$4&gt;=$E80,AD$4&lt;=$F80),IF($D80="Milestone","D",1),""))</f>
        <v/>
      </c>
      <c r="AE80" s="43" t="str">
        <f aca="false">IF($E80="","",IF(AND(AE$4&gt;=$E80,AE$4&lt;=$F80),IF($D80="Milestone","D",1),""))</f>
        <v/>
      </c>
      <c r="AF80" s="43" t="str">
        <f aca="false">IF($E80="","",IF(AND(AF$4&gt;=$E80,AF$4&lt;=$F80),IF($D80="Milestone","D",1),""))</f>
        <v/>
      </c>
      <c r="AG80" s="43" t="str">
        <f aca="false">IF($E80="","",IF(AND(AG$4&gt;=$E80,AG$4&lt;=$F80),IF($D80="Milestone","D",1),""))</f>
        <v/>
      </c>
      <c r="AH80" s="43" t="str">
        <f aca="false">IF($E80="","",IF(AND(AH$4&gt;=$E80,AH$4&lt;=$F80),IF($D80="Milestone","D",1),""))</f>
        <v/>
      </c>
    </row>
    <row r="81" customFormat="false" ht="15" hidden="false" customHeight="false" outlineLevel="0" collapsed="false">
      <c r="A81" s="40" t="str">
        <f aca="false">WBS!A78</f>
        <v>MF-11</v>
      </c>
      <c r="B81" s="41" t="str">
        <f aca="false">WBS!B78</f>
        <v>Harness fabrication</v>
      </c>
      <c r="C81" s="40" t="str">
        <f aca="false">WBS!E78</f>
        <v>Pablo</v>
      </c>
      <c r="D81" s="40" t="str">
        <f aca="false">WBS!D78</f>
        <v>Manufacturing &amp; Circuits</v>
      </c>
      <c r="E81" s="42" t="n">
        <f aca="false">WBS!L78</f>
        <v>46239</v>
      </c>
      <c r="F81" s="42" t="n">
        <f aca="false">WBS!M78</f>
        <v>46240</v>
      </c>
      <c r="G81" s="43" t="str">
        <f aca="false">IF($E81="","",IF(AND(G$4&gt;=$E81,G$4&lt;=$F81),IF($D81="Milestone","D",1),""))</f>
        <v/>
      </c>
      <c r="H81" s="43" t="str">
        <f aca="false">IF($E81="","",IF(AND(H$4&gt;=$E81,H$4&lt;=$F81),IF($D81="Milestone","D",1),""))</f>
        <v/>
      </c>
      <c r="I81" s="43" t="str">
        <f aca="false">IF($E81="","",IF(AND(I$4&gt;=$E81,I$4&lt;=$F81),IF($D81="Milestone","D",1),""))</f>
        <v/>
      </c>
      <c r="J81" s="43" t="str">
        <f aca="false">IF($E81="","",IF(AND(J$4&gt;=$E81,J$4&lt;=$F81),IF($D81="Milestone","D",1),""))</f>
        <v/>
      </c>
      <c r="K81" s="43" t="str">
        <f aca="false">IF($E81="","",IF(AND(K$4&gt;=$E81,K$4&lt;=$F81),IF($D81="Milestone","D",1),""))</f>
        <v/>
      </c>
      <c r="L81" s="43" t="str">
        <f aca="false">IF($E81="","",IF(AND(L$4&gt;=$E81,L$4&lt;=$F81),IF($D81="Milestone","D",1),""))</f>
        <v/>
      </c>
      <c r="M81" s="43" t="str">
        <f aca="false">IF($E81="","",IF(AND(M$4&gt;=$E81,M$4&lt;=$F81),IF($D81="Milestone","D",1),""))</f>
        <v/>
      </c>
      <c r="N81" s="43" t="str">
        <f aca="false">IF($E81="","",IF(AND(N$4&gt;=$E81,N$4&lt;=$F81),IF($D81="Milestone","D",1),""))</f>
        <v/>
      </c>
      <c r="O81" s="43" t="str">
        <f aca="false">IF($E81="","",IF(AND(O$4&gt;=$E81,O$4&lt;=$F81),IF($D81="Milestone","D",1),""))</f>
        <v/>
      </c>
      <c r="P81" s="43" t="str">
        <f aca="false">IF($E81="","",IF(AND(P$4&gt;=$E81,P$4&lt;=$F81),IF($D81="Milestone","D",1),""))</f>
        <v/>
      </c>
      <c r="Q81" s="43" t="str">
        <f aca="false">IF($E81="","",IF(AND(Q$4&gt;=$E81,Q$4&lt;=$F81),IF($D81="Milestone","D",1),""))</f>
        <v/>
      </c>
      <c r="R81" s="43" t="str">
        <f aca="false">IF($E81="","",IF(AND(R$4&gt;=$E81,R$4&lt;=$F81),IF($D81="Milestone","D",1),""))</f>
        <v/>
      </c>
      <c r="S81" s="43" t="str">
        <f aca="false">IF($E81="","",IF(AND(S$4&gt;=$E81,S$4&lt;=$F81),IF($D81="Milestone","D",1),""))</f>
        <v/>
      </c>
      <c r="T81" s="43" t="n">
        <f aca="false">IF($E81="","",IF(AND(T$4&gt;=$E81,T$4&lt;=$F81),IF($D81="Milestone","D",1),""))</f>
        <v>1</v>
      </c>
      <c r="U81" s="43" t="n">
        <f aca="false">IF($E81="","",IF(AND(U$4&gt;=$E81,U$4&lt;=$F81),IF($D81="Milestone","D",1),""))</f>
        <v>1</v>
      </c>
      <c r="V81" s="43" t="str">
        <f aca="false">IF($E81="","",IF(AND(V$4&gt;=$E81,V$4&lt;=$F81),IF($D81="Milestone","D",1),""))</f>
        <v/>
      </c>
      <c r="W81" s="43" t="str">
        <f aca="false">IF($E81="","",IF(AND(W$4&gt;=$E81,W$4&lt;=$F81),IF($D81="Milestone","D",1),""))</f>
        <v/>
      </c>
      <c r="X81" s="43" t="str">
        <f aca="false">IF($E81="","",IF(AND(X$4&gt;=$E81,X$4&lt;=$F81),IF($D81="Milestone","D",1),""))</f>
        <v/>
      </c>
      <c r="Y81" s="43" t="str">
        <f aca="false">IF($E81="","",IF(AND(Y$4&gt;=$E81,Y$4&lt;=$F81),IF($D81="Milestone","D",1),""))</f>
        <v/>
      </c>
      <c r="Z81" s="43" t="str">
        <f aca="false">IF($E81="","",IF(AND(Z$4&gt;=$E81,Z$4&lt;=$F81),IF($D81="Milestone","D",1),""))</f>
        <v/>
      </c>
      <c r="AA81" s="43" t="str">
        <f aca="false">IF($E81="","",IF(AND(AA$4&gt;=$E81,AA$4&lt;=$F81),IF($D81="Milestone","D",1),""))</f>
        <v/>
      </c>
      <c r="AB81" s="43" t="str">
        <f aca="false">IF($E81="","",IF(AND(AB$4&gt;=$E81,AB$4&lt;=$F81),IF($D81="Milestone","D",1),""))</f>
        <v/>
      </c>
      <c r="AC81" s="43" t="str">
        <f aca="false">IF($E81="","",IF(AND(AC$4&gt;=$E81,AC$4&lt;=$F81),IF($D81="Milestone","D",1),""))</f>
        <v/>
      </c>
      <c r="AD81" s="43" t="str">
        <f aca="false">IF($E81="","",IF(AND(AD$4&gt;=$E81,AD$4&lt;=$F81),IF($D81="Milestone","D",1),""))</f>
        <v/>
      </c>
      <c r="AE81" s="43" t="str">
        <f aca="false">IF($E81="","",IF(AND(AE$4&gt;=$E81,AE$4&lt;=$F81),IF($D81="Milestone","D",1),""))</f>
        <v/>
      </c>
      <c r="AF81" s="43" t="str">
        <f aca="false">IF($E81="","",IF(AND(AF$4&gt;=$E81,AF$4&lt;=$F81),IF($D81="Milestone","D",1),""))</f>
        <v/>
      </c>
      <c r="AG81" s="43" t="str">
        <f aca="false">IF($E81="","",IF(AND(AG$4&gt;=$E81,AG$4&lt;=$F81),IF($D81="Milestone","D",1),""))</f>
        <v/>
      </c>
      <c r="AH81" s="43" t="str">
        <f aca="false">IF($E81="","",IF(AND(AH$4&gt;=$E81,AH$4&lt;=$F81),IF($D81="Milestone","D",1),""))</f>
        <v/>
      </c>
    </row>
    <row r="82" customFormat="false" ht="15" hidden="false" customHeight="false" outlineLevel="0" collapsed="false">
      <c r="A82" s="40" t="str">
        <f aca="false">WBS!A79</f>
        <v>MF-12</v>
      </c>
      <c r="B82" s="41" t="str">
        <f aca="false">WBS!B79</f>
        <v>Print queue C - Tier 1</v>
      </c>
      <c r="C82" s="40" t="str">
        <f aca="false">WBS!E79</f>
        <v>Neisa</v>
      </c>
      <c r="D82" s="40" t="str">
        <f aca="false">WBS!D79</f>
        <v>Manufacturing &amp; Circuits</v>
      </c>
      <c r="E82" s="42" t="n">
        <f aca="false">WBS!L79</f>
        <v>46237</v>
      </c>
      <c r="F82" s="42" t="n">
        <f aca="false">WBS!M79</f>
        <v>46240</v>
      </c>
      <c r="G82" s="43" t="str">
        <f aca="false">IF($E82="","",IF(AND(G$4&gt;=$E82,G$4&lt;=$F82),IF($D82="Milestone","D",1),""))</f>
        <v/>
      </c>
      <c r="H82" s="43" t="str">
        <f aca="false">IF($E82="","",IF(AND(H$4&gt;=$E82,H$4&lt;=$F82),IF($D82="Milestone","D",1),""))</f>
        <v/>
      </c>
      <c r="I82" s="43" t="str">
        <f aca="false">IF($E82="","",IF(AND(I$4&gt;=$E82,I$4&lt;=$F82),IF($D82="Milestone","D",1),""))</f>
        <v/>
      </c>
      <c r="J82" s="43" t="str">
        <f aca="false">IF($E82="","",IF(AND(J$4&gt;=$E82,J$4&lt;=$F82),IF($D82="Milestone","D",1),""))</f>
        <v/>
      </c>
      <c r="K82" s="43" t="str">
        <f aca="false">IF($E82="","",IF(AND(K$4&gt;=$E82,K$4&lt;=$F82),IF($D82="Milestone","D",1),""))</f>
        <v/>
      </c>
      <c r="L82" s="43" t="str">
        <f aca="false">IF($E82="","",IF(AND(L$4&gt;=$E82,L$4&lt;=$F82),IF($D82="Milestone","D",1),""))</f>
        <v/>
      </c>
      <c r="M82" s="43" t="str">
        <f aca="false">IF($E82="","",IF(AND(M$4&gt;=$E82,M$4&lt;=$F82),IF($D82="Milestone","D",1),""))</f>
        <v/>
      </c>
      <c r="N82" s="43" t="str">
        <f aca="false">IF($E82="","",IF(AND(N$4&gt;=$E82,N$4&lt;=$F82),IF($D82="Milestone","D",1),""))</f>
        <v/>
      </c>
      <c r="O82" s="43" t="str">
        <f aca="false">IF($E82="","",IF(AND(O$4&gt;=$E82,O$4&lt;=$F82),IF($D82="Milestone","D",1),""))</f>
        <v/>
      </c>
      <c r="P82" s="43" t="str">
        <f aca="false">IF($E82="","",IF(AND(P$4&gt;=$E82,P$4&lt;=$F82),IF($D82="Milestone","D",1),""))</f>
        <v/>
      </c>
      <c r="Q82" s="43" t="str">
        <f aca="false">IF($E82="","",IF(AND(Q$4&gt;=$E82,Q$4&lt;=$F82),IF($D82="Milestone","D",1),""))</f>
        <v/>
      </c>
      <c r="R82" s="43" t="n">
        <f aca="false">IF($E82="","",IF(AND(R$4&gt;=$E82,R$4&lt;=$F82),IF($D82="Milestone","D",1),""))</f>
        <v>1</v>
      </c>
      <c r="S82" s="43" t="n">
        <f aca="false">IF($E82="","",IF(AND(S$4&gt;=$E82,S$4&lt;=$F82),IF($D82="Milestone","D",1),""))</f>
        <v>1</v>
      </c>
      <c r="T82" s="43" t="n">
        <f aca="false">IF($E82="","",IF(AND(T$4&gt;=$E82,T$4&lt;=$F82),IF($D82="Milestone","D",1),""))</f>
        <v>1</v>
      </c>
      <c r="U82" s="43" t="n">
        <f aca="false">IF($E82="","",IF(AND(U$4&gt;=$E82,U$4&lt;=$F82),IF($D82="Milestone","D",1),""))</f>
        <v>1</v>
      </c>
      <c r="V82" s="43" t="str">
        <f aca="false">IF($E82="","",IF(AND(V$4&gt;=$E82,V$4&lt;=$F82),IF($D82="Milestone","D",1),""))</f>
        <v/>
      </c>
      <c r="W82" s="43" t="str">
        <f aca="false">IF($E82="","",IF(AND(W$4&gt;=$E82,W$4&lt;=$F82),IF($D82="Milestone","D",1),""))</f>
        <v/>
      </c>
      <c r="X82" s="43" t="str">
        <f aca="false">IF($E82="","",IF(AND(X$4&gt;=$E82,X$4&lt;=$F82),IF($D82="Milestone","D",1),""))</f>
        <v/>
      </c>
      <c r="Y82" s="43" t="str">
        <f aca="false">IF($E82="","",IF(AND(Y$4&gt;=$E82,Y$4&lt;=$F82),IF($D82="Milestone","D",1),""))</f>
        <v/>
      </c>
      <c r="Z82" s="43" t="str">
        <f aca="false">IF($E82="","",IF(AND(Z$4&gt;=$E82,Z$4&lt;=$F82),IF($D82="Milestone","D",1),""))</f>
        <v/>
      </c>
      <c r="AA82" s="43" t="str">
        <f aca="false">IF($E82="","",IF(AND(AA$4&gt;=$E82,AA$4&lt;=$F82),IF($D82="Milestone","D",1),""))</f>
        <v/>
      </c>
      <c r="AB82" s="43" t="str">
        <f aca="false">IF($E82="","",IF(AND(AB$4&gt;=$E82,AB$4&lt;=$F82),IF($D82="Milestone","D",1),""))</f>
        <v/>
      </c>
      <c r="AC82" s="43" t="str">
        <f aca="false">IF($E82="","",IF(AND(AC$4&gt;=$E82,AC$4&lt;=$F82),IF($D82="Milestone","D",1),""))</f>
        <v/>
      </c>
      <c r="AD82" s="43" t="str">
        <f aca="false">IF($E82="","",IF(AND(AD$4&gt;=$E82,AD$4&lt;=$F82),IF($D82="Milestone","D",1),""))</f>
        <v/>
      </c>
      <c r="AE82" s="43" t="str">
        <f aca="false">IF($E82="","",IF(AND(AE$4&gt;=$E82,AE$4&lt;=$F82),IF($D82="Milestone","D",1),""))</f>
        <v/>
      </c>
      <c r="AF82" s="43" t="str">
        <f aca="false">IF($E82="","",IF(AND(AF$4&gt;=$E82,AF$4&lt;=$F82),IF($D82="Milestone","D",1),""))</f>
        <v/>
      </c>
      <c r="AG82" s="43" t="str">
        <f aca="false">IF($E82="","",IF(AND(AG$4&gt;=$E82,AG$4&lt;=$F82),IF($D82="Milestone","D",1),""))</f>
        <v/>
      </c>
      <c r="AH82" s="43" t="str">
        <f aca="false">IF($E82="","",IF(AND(AH$4&gt;=$E82,AH$4&lt;=$F82),IF($D82="Milestone","D",1),""))</f>
        <v/>
      </c>
    </row>
    <row r="83" customFormat="false" ht="15" hidden="false" customHeight="false" outlineLevel="0" collapsed="false">
      <c r="A83" s="40" t="str">
        <f aca="false">WBS!A80</f>
        <v>MF-13</v>
      </c>
      <c r="B83" s="41" t="str">
        <f aca="false">WBS!B80</f>
        <v>Fabricate frame</v>
      </c>
      <c r="C83" s="40" t="str">
        <f aca="false">WBS!E80</f>
        <v>Suvanna</v>
      </c>
      <c r="D83" s="40" t="str">
        <f aca="false">WBS!D80</f>
        <v>Manufacturing &amp; Circuits</v>
      </c>
      <c r="E83" s="42" t="n">
        <f aca="false">WBS!L80</f>
        <v>46237</v>
      </c>
      <c r="F83" s="42" t="n">
        <f aca="false">WBS!M80</f>
        <v>46239</v>
      </c>
      <c r="G83" s="43" t="str">
        <f aca="false">IF($E83="","",IF(AND(G$4&gt;=$E83,G$4&lt;=$F83),IF($D83="Milestone","D",1),""))</f>
        <v/>
      </c>
      <c r="H83" s="43" t="str">
        <f aca="false">IF($E83="","",IF(AND(H$4&gt;=$E83,H$4&lt;=$F83),IF($D83="Milestone","D",1),""))</f>
        <v/>
      </c>
      <c r="I83" s="43" t="str">
        <f aca="false">IF($E83="","",IF(AND(I$4&gt;=$E83,I$4&lt;=$F83),IF($D83="Milestone","D",1),""))</f>
        <v/>
      </c>
      <c r="J83" s="43" t="str">
        <f aca="false">IF($E83="","",IF(AND(J$4&gt;=$E83,J$4&lt;=$F83),IF($D83="Milestone","D",1),""))</f>
        <v/>
      </c>
      <c r="K83" s="43" t="str">
        <f aca="false">IF($E83="","",IF(AND(K$4&gt;=$E83,K$4&lt;=$F83),IF($D83="Milestone","D",1),""))</f>
        <v/>
      </c>
      <c r="L83" s="43" t="str">
        <f aca="false">IF($E83="","",IF(AND(L$4&gt;=$E83,L$4&lt;=$F83),IF($D83="Milestone","D",1),""))</f>
        <v/>
      </c>
      <c r="M83" s="43" t="str">
        <f aca="false">IF($E83="","",IF(AND(M$4&gt;=$E83,M$4&lt;=$F83),IF($D83="Milestone","D",1),""))</f>
        <v/>
      </c>
      <c r="N83" s="43" t="str">
        <f aca="false">IF($E83="","",IF(AND(N$4&gt;=$E83,N$4&lt;=$F83),IF($D83="Milestone","D",1),""))</f>
        <v/>
      </c>
      <c r="O83" s="43" t="str">
        <f aca="false">IF($E83="","",IF(AND(O$4&gt;=$E83,O$4&lt;=$F83),IF($D83="Milestone","D",1),""))</f>
        <v/>
      </c>
      <c r="P83" s="43" t="str">
        <f aca="false">IF($E83="","",IF(AND(P$4&gt;=$E83,P$4&lt;=$F83),IF($D83="Milestone","D",1),""))</f>
        <v/>
      </c>
      <c r="Q83" s="43" t="str">
        <f aca="false">IF($E83="","",IF(AND(Q$4&gt;=$E83,Q$4&lt;=$F83),IF($D83="Milestone","D",1),""))</f>
        <v/>
      </c>
      <c r="R83" s="43" t="n">
        <f aca="false">IF($E83="","",IF(AND(R$4&gt;=$E83,R$4&lt;=$F83),IF($D83="Milestone","D",1),""))</f>
        <v>1</v>
      </c>
      <c r="S83" s="43" t="n">
        <f aca="false">IF($E83="","",IF(AND(S$4&gt;=$E83,S$4&lt;=$F83),IF($D83="Milestone","D",1),""))</f>
        <v>1</v>
      </c>
      <c r="T83" s="43" t="n">
        <f aca="false">IF($E83="","",IF(AND(T$4&gt;=$E83,T$4&lt;=$F83),IF($D83="Milestone","D",1),""))</f>
        <v>1</v>
      </c>
      <c r="U83" s="43" t="str">
        <f aca="false">IF($E83="","",IF(AND(U$4&gt;=$E83,U$4&lt;=$F83),IF($D83="Milestone","D",1),""))</f>
        <v/>
      </c>
      <c r="V83" s="43" t="str">
        <f aca="false">IF($E83="","",IF(AND(V$4&gt;=$E83,V$4&lt;=$F83),IF($D83="Milestone","D",1),""))</f>
        <v/>
      </c>
      <c r="W83" s="43" t="str">
        <f aca="false">IF($E83="","",IF(AND(W$4&gt;=$E83,W$4&lt;=$F83),IF($D83="Milestone","D",1),""))</f>
        <v/>
      </c>
      <c r="X83" s="43" t="str">
        <f aca="false">IF($E83="","",IF(AND(X$4&gt;=$E83,X$4&lt;=$F83),IF($D83="Milestone","D",1),""))</f>
        <v/>
      </c>
      <c r="Y83" s="43" t="str">
        <f aca="false">IF($E83="","",IF(AND(Y$4&gt;=$E83,Y$4&lt;=$F83),IF($D83="Milestone","D",1),""))</f>
        <v/>
      </c>
      <c r="Z83" s="43" t="str">
        <f aca="false">IF($E83="","",IF(AND(Z$4&gt;=$E83,Z$4&lt;=$F83),IF($D83="Milestone","D",1),""))</f>
        <v/>
      </c>
      <c r="AA83" s="43" t="str">
        <f aca="false">IF($E83="","",IF(AND(AA$4&gt;=$E83,AA$4&lt;=$F83),IF($D83="Milestone","D",1),""))</f>
        <v/>
      </c>
      <c r="AB83" s="43" t="str">
        <f aca="false">IF($E83="","",IF(AND(AB$4&gt;=$E83,AB$4&lt;=$F83),IF($D83="Milestone","D",1),""))</f>
        <v/>
      </c>
      <c r="AC83" s="43" t="str">
        <f aca="false">IF($E83="","",IF(AND(AC$4&gt;=$E83,AC$4&lt;=$F83),IF($D83="Milestone","D",1),""))</f>
        <v/>
      </c>
      <c r="AD83" s="43" t="str">
        <f aca="false">IF($E83="","",IF(AND(AD$4&gt;=$E83,AD$4&lt;=$F83),IF($D83="Milestone","D",1),""))</f>
        <v/>
      </c>
      <c r="AE83" s="43" t="str">
        <f aca="false">IF($E83="","",IF(AND(AE$4&gt;=$E83,AE$4&lt;=$F83),IF($D83="Milestone","D",1),""))</f>
        <v/>
      </c>
      <c r="AF83" s="43" t="str">
        <f aca="false">IF($E83="","",IF(AND(AF$4&gt;=$E83,AF$4&lt;=$F83),IF($D83="Milestone","D",1),""))</f>
        <v/>
      </c>
      <c r="AG83" s="43" t="str">
        <f aca="false">IF($E83="","",IF(AND(AG$4&gt;=$E83,AG$4&lt;=$F83),IF($D83="Milestone","D",1),""))</f>
        <v/>
      </c>
      <c r="AH83" s="43" t="str">
        <f aca="false">IF($E83="","",IF(AND(AH$4&gt;=$E83,AH$4&lt;=$F83),IF($D83="Milestone","D",1),""))</f>
        <v/>
      </c>
    </row>
    <row r="84" customFormat="false" ht="15" hidden="false" customHeight="false" outlineLevel="0" collapsed="false">
      <c r="A84" s="40" t="str">
        <f aca="false">WBS!A81</f>
        <v>MF-14</v>
      </c>
      <c r="B84" s="41" t="str">
        <f aca="false">WBS!B81</f>
        <v>Print queue D - Tier 2</v>
      </c>
      <c r="C84" s="40" t="str">
        <f aca="false">WBS!E81</f>
        <v>Suvanna</v>
      </c>
      <c r="D84" s="40" t="str">
        <f aca="false">WBS!D81</f>
        <v>Manufacturing &amp; Circuits</v>
      </c>
      <c r="E84" s="42" t="n">
        <f aca="false">WBS!L81</f>
        <v>46241</v>
      </c>
      <c r="F84" s="42" t="n">
        <f aca="false">WBS!M81</f>
        <v>46242</v>
      </c>
      <c r="G84" s="43" t="str">
        <f aca="false">IF($E84="","",IF(AND(G$4&gt;=$E84,G$4&lt;=$F84),IF($D84="Milestone","D",1),""))</f>
        <v/>
      </c>
      <c r="H84" s="43" t="str">
        <f aca="false">IF($E84="","",IF(AND(H$4&gt;=$E84,H$4&lt;=$F84),IF($D84="Milestone","D",1),""))</f>
        <v/>
      </c>
      <c r="I84" s="43" t="str">
        <f aca="false">IF($E84="","",IF(AND(I$4&gt;=$E84,I$4&lt;=$F84),IF($D84="Milestone","D",1),""))</f>
        <v/>
      </c>
      <c r="J84" s="43" t="str">
        <f aca="false">IF($E84="","",IF(AND(J$4&gt;=$E84,J$4&lt;=$F84),IF($D84="Milestone","D",1),""))</f>
        <v/>
      </c>
      <c r="K84" s="43" t="str">
        <f aca="false">IF($E84="","",IF(AND(K$4&gt;=$E84,K$4&lt;=$F84),IF($D84="Milestone","D",1),""))</f>
        <v/>
      </c>
      <c r="L84" s="43" t="str">
        <f aca="false">IF($E84="","",IF(AND(L$4&gt;=$E84,L$4&lt;=$F84),IF($D84="Milestone","D",1),""))</f>
        <v/>
      </c>
      <c r="M84" s="43" t="str">
        <f aca="false">IF($E84="","",IF(AND(M$4&gt;=$E84,M$4&lt;=$F84),IF($D84="Milestone","D",1),""))</f>
        <v/>
      </c>
      <c r="N84" s="43" t="str">
        <f aca="false">IF($E84="","",IF(AND(N$4&gt;=$E84,N$4&lt;=$F84),IF($D84="Milestone","D",1),""))</f>
        <v/>
      </c>
      <c r="O84" s="43" t="str">
        <f aca="false">IF($E84="","",IF(AND(O$4&gt;=$E84,O$4&lt;=$F84),IF($D84="Milestone","D",1),""))</f>
        <v/>
      </c>
      <c r="P84" s="43" t="str">
        <f aca="false">IF($E84="","",IF(AND(P$4&gt;=$E84,P$4&lt;=$F84),IF($D84="Milestone","D",1),""))</f>
        <v/>
      </c>
      <c r="Q84" s="43" t="str">
        <f aca="false">IF($E84="","",IF(AND(Q$4&gt;=$E84,Q$4&lt;=$F84),IF($D84="Milestone","D",1),""))</f>
        <v/>
      </c>
      <c r="R84" s="43" t="str">
        <f aca="false">IF($E84="","",IF(AND(R$4&gt;=$E84,R$4&lt;=$F84),IF($D84="Milestone","D",1),""))</f>
        <v/>
      </c>
      <c r="S84" s="43" t="str">
        <f aca="false">IF($E84="","",IF(AND(S$4&gt;=$E84,S$4&lt;=$F84),IF($D84="Milestone","D",1),""))</f>
        <v/>
      </c>
      <c r="T84" s="43" t="str">
        <f aca="false">IF($E84="","",IF(AND(T$4&gt;=$E84,T$4&lt;=$F84),IF($D84="Milestone","D",1),""))</f>
        <v/>
      </c>
      <c r="U84" s="43" t="str">
        <f aca="false">IF($E84="","",IF(AND(U$4&gt;=$E84,U$4&lt;=$F84),IF($D84="Milestone","D",1),""))</f>
        <v/>
      </c>
      <c r="V84" s="43" t="n">
        <f aca="false">IF($E84="","",IF(AND(V$4&gt;=$E84,V$4&lt;=$F84),IF($D84="Milestone","D",1),""))</f>
        <v>1</v>
      </c>
      <c r="W84" s="43" t="n">
        <f aca="false">IF($E84="","",IF(AND(W$4&gt;=$E84,W$4&lt;=$F84),IF($D84="Milestone","D",1),""))</f>
        <v>1</v>
      </c>
      <c r="X84" s="43" t="str">
        <f aca="false">IF($E84="","",IF(AND(X$4&gt;=$E84,X$4&lt;=$F84),IF($D84="Milestone","D",1),""))</f>
        <v/>
      </c>
      <c r="Y84" s="43" t="str">
        <f aca="false">IF($E84="","",IF(AND(Y$4&gt;=$E84,Y$4&lt;=$F84),IF($D84="Milestone","D",1),""))</f>
        <v/>
      </c>
      <c r="Z84" s="43" t="str">
        <f aca="false">IF($E84="","",IF(AND(Z$4&gt;=$E84,Z$4&lt;=$F84),IF($D84="Milestone","D",1),""))</f>
        <v/>
      </c>
      <c r="AA84" s="43" t="str">
        <f aca="false">IF($E84="","",IF(AND(AA$4&gt;=$E84,AA$4&lt;=$F84),IF($D84="Milestone","D",1),""))</f>
        <v/>
      </c>
      <c r="AB84" s="43" t="str">
        <f aca="false">IF($E84="","",IF(AND(AB$4&gt;=$E84,AB$4&lt;=$F84),IF($D84="Milestone","D",1),""))</f>
        <v/>
      </c>
      <c r="AC84" s="43" t="str">
        <f aca="false">IF($E84="","",IF(AND(AC$4&gt;=$E84,AC$4&lt;=$F84),IF($D84="Milestone","D",1),""))</f>
        <v/>
      </c>
      <c r="AD84" s="43" t="str">
        <f aca="false">IF($E84="","",IF(AND(AD$4&gt;=$E84,AD$4&lt;=$F84),IF($D84="Milestone","D",1),""))</f>
        <v/>
      </c>
      <c r="AE84" s="43" t="str">
        <f aca="false">IF($E84="","",IF(AND(AE$4&gt;=$E84,AE$4&lt;=$F84),IF($D84="Milestone","D",1),""))</f>
        <v/>
      </c>
      <c r="AF84" s="43" t="str">
        <f aca="false">IF($E84="","",IF(AND(AF$4&gt;=$E84,AF$4&lt;=$F84),IF($D84="Milestone","D",1),""))</f>
        <v/>
      </c>
      <c r="AG84" s="43" t="str">
        <f aca="false">IF($E84="","",IF(AND(AG$4&gt;=$E84,AG$4&lt;=$F84),IF($D84="Milestone","D",1),""))</f>
        <v/>
      </c>
      <c r="AH84" s="43" t="str">
        <f aca="false">IF($E84="","",IF(AND(AH$4&gt;=$E84,AH$4&lt;=$F84),IF($D84="Milestone","D",1),""))</f>
        <v/>
      </c>
    </row>
    <row r="85" customFormat="false" ht="15" hidden="false" customHeight="false" outlineLevel="0" collapsed="false">
      <c r="A85" s="40" t="str">
        <f aca="false">WBS!A82</f>
        <v>MF-15</v>
      </c>
      <c r="B85" s="41" t="str">
        <f aca="false">WBS!B82</f>
        <v>Cube integration</v>
      </c>
      <c r="C85" s="40" t="str">
        <f aca="false">WBS!E82</f>
        <v>Pablo</v>
      </c>
      <c r="D85" s="40" t="str">
        <f aca="false">WBS!D82</f>
        <v>Manufacturing &amp; Circuits</v>
      </c>
      <c r="E85" s="42" t="n">
        <f aca="false">WBS!L82</f>
        <v>46241</v>
      </c>
      <c r="F85" s="42" t="n">
        <f aca="false">WBS!M82</f>
        <v>46242</v>
      </c>
      <c r="G85" s="43" t="str">
        <f aca="false">IF($E85="","",IF(AND(G$4&gt;=$E85,G$4&lt;=$F85),IF($D85="Milestone","D",1),""))</f>
        <v/>
      </c>
      <c r="H85" s="43" t="str">
        <f aca="false">IF($E85="","",IF(AND(H$4&gt;=$E85,H$4&lt;=$F85),IF($D85="Milestone","D",1),""))</f>
        <v/>
      </c>
      <c r="I85" s="43" t="str">
        <f aca="false">IF($E85="","",IF(AND(I$4&gt;=$E85,I$4&lt;=$F85),IF($D85="Milestone","D",1),""))</f>
        <v/>
      </c>
      <c r="J85" s="43" t="str">
        <f aca="false">IF($E85="","",IF(AND(J$4&gt;=$E85,J$4&lt;=$F85),IF($D85="Milestone","D",1),""))</f>
        <v/>
      </c>
      <c r="K85" s="43" t="str">
        <f aca="false">IF($E85="","",IF(AND(K$4&gt;=$E85,K$4&lt;=$F85),IF($D85="Milestone","D",1),""))</f>
        <v/>
      </c>
      <c r="L85" s="43" t="str">
        <f aca="false">IF($E85="","",IF(AND(L$4&gt;=$E85,L$4&lt;=$F85),IF($D85="Milestone","D",1),""))</f>
        <v/>
      </c>
      <c r="M85" s="43" t="str">
        <f aca="false">IF($E85="","",IF(AND(M$4&gt;=$E85,M$4&lt;=$F85),IF($D85="Milestone","D",1),""))</f>
        <v/>
      </c>
      <c r="N85" s="43" t="str">
        <f aca="false">IF($E85="","",IF(AND(N$4&gt;=$E85,N$4&lt;=$F85),IF($D85="Milestone","D",1),""))</f>
        <v/>
      </c>
      <c r="O85" s="43" t="str">
        <f aca="false">IF($E85="","",IF(AND(O$4&gt;=$E85,O$4&lt;=$F85),IF($D85="Milestone","D",1),""))</f>
        <v/>
      </c>
      <c r="P85" s="43" t="str">
        <f aca="false">IF($E85="","",IF(AND(P$4&gt;=$E85,P$4&lt;=$F85),IF($D85="Milestone","D",1),""))</f>
        <v/>
      </c>
      <c r="Q85" s="43" t="str">
        <f aca="false">IF($E85="","",IF(AND(Q$4&gt;=$E85,Q$4&lt;=$F85),IF($D85="Milestone","D",1),""))</f>
        <v/>
      </c>
      <c r="R85" s="43" t="str">
        <f aca="false">IF($E85="","",IF(AND(R$4&gt;=$E85,R$4&lt;=$F85),IF($D85="Milestone","D",1),""))</f>
        <v/>
      </c>
      <c r="S85" s="43" t="str">
        <f aca="false">IF($E85="","",IF(AND(S$4&gt;=$E85,S$4&lt;=$F85),IF($D85="Milestone","D",1),""))</f>
        <v/>
      </c>
      <c r="T85" s="43" t="str">
        <f aca="false">IF($E85="","",IF(AND(T$4&gt;=$E85,T$4&lt;=$F85),IF($D85="Milestone","D",1),""))</f>
        <v/>
      </c>
      <c r="U85" s="43" t="str">
        <f aca="false">IF($E85="","",IF(AND(U$4&gt;=$E85,U$4&lt;=$F85),IF($D85="Milestone","D",1),""))</f>
        <v/>
      </c>
      <c r="V85" s="43" t="n">
        <f aca="false">IF($E85="","",IF(AND(V$4&gt;=$E85,V$4&lt;=$F85),IF($D85="Milestone","D",1),""))</f>
        <v>1</v>
      </c>
      <c r="W85" s="43" t="n">
        <f aca="false">IF($E85="","",IF(AND(W$4&gt;=$E85,W$4&lt;=$F85),IF($D85="Milestone","D",1),""))</f>
        <v>1</v>
      </c>
      <c r="X85" s="43" t="str">
        <f aca="false">IF($E85="","",IF(AND(X$4&gt;=$E85,X$4&lt;=$F85),IF($D85="Milestone","D",1),""))</f>
        <v/>
      </c>
      <c r="Y85" s="43" t="str">
        <f aca="false">IF($E85="","",IF(AND(Y$4&gt;=$E85,Y$4&lt;=$F85),IF($D85="Milestone","D",1),""))</f>
        <v/>
      </c>
      <c r="Z85" s="43" t="str">
        <f aca="false">IF($E85="","",IF(AND(Z$4&gt;=$E85,Z$4&lt;=$F85),IF($D85="Milestone","D",1),""))</f>
        <v/>
      </c>
      <c r="AA85" s="43" t="str">
        <f aca="false">IF($E85="","",IF(AND(AA$4&gt;=$E85,AA$4&lt;=$F85),IF($D85="Milestone","D",1),""))</f>
        <v/>
      </c>
      <c r="AB85" s="43" t="str">
        <f aca="false">IF($E85="","",IF(AND(AB$4&gt;=$E85,AB$4&lt;=$F85),IF($D85="Milestone","D",1),""))</f>
        <v/>
      </c>
      <c r="AC85" s="43" t="str">
        <f aca="false">IF($E85="","",IF(AND(AC$4&gt;=$E85,AC$4&lt;=$F85),IF($D85="Milestone","D",1),""))</f>
        <v/>
      </c>
      <c r="AD85" s="43" t="str">
        <f aca="false">IF($E85="","",IF(AND(AD$4&gt;=$E85,AD$4&lt;=$F85),IF($D85="Milestone","D",1),""))</f>
        <v/>
      </c>
      <c r="AE85" s="43" t="str">
        <f aca="false">IF($E85="","",IF(AND(AE$4&gt;=$E85,AE$4&lt;=$F85),IF($D85="Milestone","D",1),""))</f>
        <v/>
      </c>
      <c r="AF85" s="43" t="str">
        <f aca="false">IF($E85="","",IF(AND(AF$4&gt;=$E85,AF$4&lt;=$F85),IF($D85="Milestone","D",1),""))</f>
        <v/>
      </c>
      <c r="AG85" s="43" t="str">
        <f aca="false">IF($E85="","",IF(AND(AG$4&gt;=$E85,AG$4&lt;=$F85),IF($D85="Milestone","D",1),""))</f>
        <v/>
      </c>
      <c r="AH85" s="43" t="str">
        <f aca="false">IF($E85="","",IF(AND(AH$4&gt;=$E85,AH$4&lt;=$F85),IF($D85="Milestone","D",1),""))</f>
        <v/>
      </c>
    </row>
    <row r="86" customFormat="false" ht="15" hidden="false" customHeight="false" outlineLevel="0" collapsed="false">
      <c r="A86" s="40" t="str">
        <f aca="false">WBS!A83</f>
        <v>MF-16</v>
      </c>
      <c r="B86" s="41" t="str">
        <f aca="false">WBS!B83</f>
        <v>Power-on / smoke test</v>
      </c>
      <c r="C86" s="40" t="str">
        <f aca="false">WBS!E83</f>
        <v>Pablo</v>
      </c>
      <c r="D86" s="40" t="str">
        <f aca="false">WBS!D83</f>
        <v>Manufacturing &amp; Circuits</v>
      </c>
      <c r="E86" s="42" t="n">
        <f aca="false">WBS!L83</f>
        <v>46243</v>
      </c>
      <c r="F86" s="42" t="n">
        <f aca="false">WBS!M83</f>
        <v>46243</v>
      </c>
      <c r="G86" s="43" t="str">
        <f aca="false">IF($E86="","",IF(AND(G$4&gt;=$E86,G$4&lt;=$F86),IF($D86="Milestone","D",1),""))</f>
        <v/>
      </c>
      <c r="H86" s="43" t="str">
        <f aca="false">IF($E86="","",IF(AND(H$4&gt;=$E86,H$4&lt;=$F86),IF($D86="Milestone","D",1),""))</f>
        <v/>
      </c>
      <c r="I86" s="43" t="str">
        <f aca="false">IF($E86="","",IF(AND(I$4&gt;=$E86,I$4&lt;=$F86),IF($D86="Milestone","D",1),""))</f>
        <v/>
      </c>
      <c r="J86" s="43" t="str">
        <f aca="false">IF($E86="","",IF(AND(J$4&gt;=$E86,J$4&lt;=$F86),IF($D86="Milestone","D",1),""))</f>
        <v/>
      </c>
      <c r="K86" s="43" t="str">
        <f aca="false">IF($E86="","",IF(AND(K$4&gt;=$E86,K$4&lt;=$F86),IF($D86="Milestone","D",1),""))</f>
        <v/>
      </c>
      <c r="L86" s="43" t="str">
        <f aca="false">IF($E86="","",IF(AND(L$4&gt;=$E86,L$4&lt;=$F86),IF($D86="Milestone","D",1),""))</f>
        <v/>
      </c>
      <c r="M86" s="43" t="str">
        <f aca="false">IF($E86="","",IF(AND(M$4&gt;=$E86,M$4&lt;=$F86),IF($D86="Milestone","D",1),""))</f>
        <v/>
      </c>
      <c r="N86" s="43" t="str">
        <f aca="false">IF($E86="","",IF(AND(N$4&gt;=$E86,N$4&lt;=$F86),IF($D86="Milestone","D",1),""))</f>
        <v/>
      </c>
      <c r="O86" s="43" t="str">
        <f aca="false">IF($E86="","",IF(AND(O$4&gt;=$E86,O$4&lt;=$F86),IF($D86="Milestone","D",1),""))</f>
        <v/>
      </c>
      <c r="P86" s="43" t="str">
        <f aca="false">IF($E86="","",IF(AND(P$4&gt;=$E86,P$4&lt;=$F86),IF($D86="Milestone","D",1),""))</f>
        <v/>
      </c>
      <c r="Q86" s="43" t="str">
        <f aca="false">IF($E86="","",IF(AND(Q$4&gt;=$E86,Q$4&lt;=$F86),IF($D86="Milestone","D",1),""))</f>
        <v/>
      </c>
      <c r="R86" s="43" t="str">
        <f aca="false">IF($E86="","",IF(AND(R$4&gt;=$E86,R$4&lt;=$F86),IF($D86="Milestone","D",1),""))</f>
        <v/>
      </c>
      <c r="S86" s="43" t="str">
        <f aca="false">IF($E86="","",IF(AND(S$4&gt;=$E86,S$4&lt;=$F86),IF($D86="Milestone","D",1),""))</f>
        <v/>
      </c>
      <c r="T86" s="43" t="str">
        <f aca="false">IF($E86="","",IF(AND(T$4&gt;=$E86,T$4&lt;=$F86),IF($D86="Milestone","D",1),""))</f>
        <v/>
      </c>
      <c r="U86" s="43" t="str">
        <f aca="false">IF($E86="","",IF(AND(U$4&gt;=$E86,U$4&lt;=$F86),IF($D86="Milestone","D",1),""))</f>
        <v/>
      </c>
      <c r="V86" s="43" t="str">
        <f aca="false">IF($E86="","",IF(AND(V$4&gt;=$E86,V$4&lt;=$F86),IF($D86="Milestone","D",1),""))</f>
        <v/>
      </c>
      <c r="W86" s="43" t="str">
        <f aca="false">IF($E86="","",IF(AND(W$4&gt;=$E86,W$4&lt;=$F86),IF($D86="Milestone","D",1),""))</f>
        <v/>
      </c>
      <c r="X86" s="43" t="n">
        <f aca="false">IF($E86="","",IF(AND(X$4&gt;=$E86,X$4&lt;=$F86),IF($D86="Milestone","D",1),""))</f>
        <v>1</v>
      </c>
      <c r="Y86" s="43" t="str">
        <f aca="false">IF($E86="","",IF(AND(Y$4&gt;=$E86,Y$4&lt;=$F86),IF($D86="Milestone","D",1),""))</f>
        <v/>
      </c>
      <c r="Z86" s="43" t="str">
        <f aca="false">IF($E86="","",IF(AND(Z$4&gt;=$E86,Z$4&lt;=$F86),IF($D86="Milestone","D",1),""))</f>
        <v/>
      </c>
      <c r="AA86" s="43" t="str">
        <f aca="false">IF($E86="","",IF(AND(AA$4&gt;=$E86,AA$4&lt;=$F86),IF($D86="Milestone","D",1),""))</f>
        <v/>
      </c>
      <c r="AB86" s="43" t="str">
        <f aca="false">IF($E86="","",IF(AND(AB$4&gt;=$E86,AB$4&lt;=$F86),IF($D86="Milestone","D",1),""))</f>
        <v/>
      </c>
      <c r="AC86" s="43" t="str">
        <f aca="false">IF($E86="","",IF(AND(AC$4&gt;=$E86,AC$4&lt;=$F86),IF($D86="Milestone","D",1),""))</f>
        <v/>
      </c>
      <c r="AD86" s="43" t="str">
        <f aca="false">IF($E86="","",IF(AND(AD$4&gt;=$E86,AD$4&lt;=$F86),IF($D86="Milestone","D",1),""))</f>
        <v/>
      </c>
      <c r="AE86" s="43" t="str">
        <f aca="false">IF($E86="","",IF(AND(AE$4&gt;=$E86,AE$4&lt;=$F86),IF($D86="Milestone","D",1),""))</f>
        <v/>
      </c>
      <c r="AF86" s="43" t="str">
        <f aca="false">IF($E86="","",IF(AND(AF$4&gt;=$E86,AF$4&lt;=$F86),IF($D86="Milestone","D",1),""))</f>
        <v/>
      </c>
      <c r="AG86" s="43" t="str">
        <f aca="false">IF($E86="","",IF(AND(AG$4&gt;=$E86,AG$4&lt;=$F86),IF($D86="Milestone","D",1),""))</f>
        <v/>
      </c>
      <c r="AH86" s="43" t="str">
        <f aca="false">IF($E86="","",IF(AND(AH$4&gt;=$E86,AH$4&lt;=$F86),IF($D86="Milestone","D",1),""))</f>
        <v/>
      </c>
    </row>
    <row r="87" customFormat="false" ht="15" hidden="false" customHeight="false" outlineLevel="0" collapsed="false">
      <c r="A87" s="40" t="str">
        <f aca="false">WBS!A84</f>
        <v>MF-17</v>
      </c>
      <c r="B87" s="41" t="str">
        <f aca="false">WBS!B84</f>
        <v>Brake mechanism build</v>
      </c>
      <c r="C87" s="40" t="str">
        <f aca="false">WBS!E84</f>
        <v>Suvanna</v>
      </c>
      <c r="D87" s="40" t="str">
        <f aca="false">WBS!D84</f>
        <v>Manufacturing &amp; Circuits</v>
      </c>
      <c r="E87" s="42" t="n">
        <f aca="false">WBS!L84</f>
        <v>46244</v>
      </c>
      <c r="F87" s="42" t="n">
        <f aca="false">WBS!M84</f>
        <v>46247</v>
      </c>
      <c r="G87" s="43" t="str">
        <f aca="false">IF($E87="","",IF(AND(G$4&gt;=$E87,G$4&lt;=$F87),IF($D87="Milestone","D",1),""))</f>
        <v/>
      </c>
      <c r="H87" s="43" t="str">
        <f aca="false">IF($E87="","",IF(AND(H$4&gt;=$E87,H$4&lt;=$F87),IF($D87="Milestone","D",1),""))</f>
        <v/>
      </c>
      <c r="I87" s="43" t="str">
        <f aca="false">IF($E87="","",IF(AND(I$4&gt;=$E87,I$4&lt;=$F87),IF($D87="Milestone","D",1),""))</f>
        <v/>
      </c>
      <c r="J87" s="43" t="str">
        <f aca="false">IF($E87="","",IF(AND(J$4&gt;=$E87,J$4&lt;=$F87),IF($D87="Milestone","D",1),""))</f>
        <v/>
      </c>
      <c r="K87" s="43" t="str">
        <f aca="false">IF($E87="","",IF(AND(K$4&gt;=$E87,K$4&lt;=$F87),IF($D87="Milestone","D",1),""))</f>
        <v/>
      </c>
      <c r="L87" s="43" t="str">
        <f aca="false">IF($E87="","",IF(AND(L$4&gt;=$E87,L$4&lt;=$F87),IF($D87="Milestone","D",1),""))</f>
        <v/>
      </c>
      <c r="M87" s="43" t="str">
        <f aca="false">IF($E87="","",IF(AND(M$4&gt;=$E87,M$4&lt;=$F87),IF($D87="Milestone","D",1),""))</f>
        <v/>
      </c>
      <c r="N87" s="43" t="str">
        <f aca="false">IF($E87="","",IF(AND(N$4&gt;=$E87,N$4&lt;=$F87),IF($D87="Milestone","D",1),""))</f>
        <v/>
      </c>
      <c r="O87" s="43" t="str">
        <f aca="false">IF($E87="","",IF(AND(O$4&gt;=$E87,O$4&lt;=$F87),IF($D87="Milestone","D",1),""))</f>
        <v/>
      </c>
      <c r="P87" s="43" t="str">
        <f aca="false">IF($E87="","",IF(AND(P$4&gt;=$E87,P$4&lt;=$F87),IF($D87="Milestone","D",1),""))</f>
        <v/>
      </c>
      <c r="Q87" s="43" t="str">
        <f aca="false">IF($E87="","",IF(AND(Q$4&gt;=$E87,Q$4&lt;=$F87),IF($D87="Milestone","D",1),""))</f>
        <v/>
      </c>
      <c r="R87" s="43" t="str">
        <f aca="false">IF($E87="","",IF(AND(R$4&gt;=$E87,R$4&lt;=$F87),IF($D87="Milestone","D",1),""))</f>
        <v/>
      </c>
      <c r="S87" s="43" t="str">
        <f aca="false">IF($E87="","",IF(AND(S$4&gt;=$E87,S$4&lt;=$F87),IF($D87="Milestone","D",1),""))</f>
        <v/>
      </c>
      <c r="T87" s="43" t="str">
        <f aca="false">IF($E87="","",IF(AND(T$4&gt;=$E87,T$4&lt;=$F87),IF($D87="Milestone","D",1),""))</f>
        <v/>
      </c>
      <c r="U87" s="43" t="str">
        <f aca="false">IF($E87="","",IF(AND(U$4&gt;=$E87,U$4&lt;=$F87),IF($D87="Milestone","D",1),""))</f>
        <v/>
      </c>
      <c r="V87" s="43" t="str">
        <f aca="false">IF($E87="","",IF(AND(V$4&gt;=$E87,V$4&lt;=$F87),IF($D87="Milestone","D",1),""))</f>
        <v/>
      </c>
      <c r="W87" s="43" t="str">
        <f aca="false">IF($E87="","",IF(AND(W$4&gt;=$E87,W$4&lt;=$F87),IF($D87="Milestone","D",1),""))</f>
        <v/>
      </c>
      <c r="X87" s="43" t="str">
        <f aca="false">IF($E87="","",IF(AND(X$4&gt;=$E87,X$4&lt;=$F87),IF($D87="Milestone","D",1),""))</f>
        <v/>
      </c>
      <c r="Y87" s="43" t="n">
        <f aca="false">IF($E87="","",IF(AND(Y$4&gt;=$E87,Y$4&lt;=$F87),IF($D87="Milestone","D",1),""))</f>
        <v>1</v>
      </c>
      <c r="Z87" s="43" t="n">
        <f aca="false">IF($E87="","",IF(AND(Z$4&gt;=$E87,Z$4&lt;=$F87),IF($D87="Milestone","D",1),""))</f>
        <v>1</v>
      </c>
      <c r="AA87" s="43" t="n">
        <f aca="false">IF($E87="","",IF(AND(AA$4&gt;=$E87,AA$4&lt;=$F87),IF($D87="Milestone","D",1),""))</f>
        <v>1</v>
      </c>
      <c r="AB87" s="43" t="n">
        <f aca="false">IF($E87="","",IF(AND(AB$4&gt;=$E87,AB$4&lt;=$F87),IF($D87="Milestone","D",1),""))</f>
        <v>1</v>
      </c>
      <c r="AC87" s="43" t="str">
        <f aca="false">IF($E87="","",IF(AND(AC$4&gt;=$E87,AC$4&lt;=$F87),IF($D87="Milestone","D",1),""))</f>
        <v/>
      </c>
      <c r="AD87" s="43" t="str">
        <f aca="false">IF($E87="","",IF(AND(AD$4&gt;=$E87,AD$4&lt;=$F87),IF($D87="Milestone","D",1),""))</f>
        <v/>
      </c>
      <c r="AE87" s="43" t="str">
        <f aca="false">IF($E87="","",IF(AND(AE$4&gt;=$E87,AE$4&lt;=$F87),IF($D87="Milestone","D",1),""))</f>
        <v/>
      </c>
      <c r="AF87" s="43" t="str">
        <f aca="false">IF($E87="","",IF(AND(AF$4&gt;=$E87,AF$4&lt;=$F87),IF($D87="Milestone","D",1),""))</f>
        <v/>
      </c>
      <c r="AG87" s="43" t="str">
        <f aca="false">IF($E87="","",IF(AND(AG$4&gt;=$E87,AG$4&lt;=$F87),IF($D87="Milestone","D",1),""))</f>
        <v/>
      </c>
      <c r="AH87" s="43" t="str">
        <f aca="false">IF($E87="","",IF(AND(AH$4&gt;=$E87,AH$4&lt;=$F87),IF($D87="Milestone","D",1),""))</f>
        <v/>
      </c>
    </row>
    <row r="88" customFormat="false" ht="15" hidden="false" customHeight="false" outlineLevel="0" collapsed="false">
      <c r="A88" s="40" t="str">
        <f aca="false">WBS!A85</f>
        <v>MF-18</v>
      </c>
      <c r="B88" s="41" t="str">
        <f aca="false">WBS!B85</f>
        <v>Rework buffer</v>
      </c>
      <c r="C88" s="40" t="str">
        <f aca="false">WBS!E85</f>
        <v>Pablo</v>
      </c>
      <c r="D88" s="40" t="str">
        <f aca="false">WBS!D85</f>
        <v>Manufacturing &amp; Circuits</v>
      </c>
      <c r="E88" s="42" t="n">
        <f aca="false">WBS!L85</f>
        <v>46237</v>
      </c>
      <c r="F88" s="42" t="n">
        <f aca="false">WBS!M85</f>
        <v>46253</v>
      </c>
      <c r="G88" s="43" t="str">
        <f aca="false">IF($E88="","",IF(AND(G$4&gt;=$E88,G$4&lt;=$F88),IF($D88="Milestone","D",1),""))</f>
        <v/>
      </c>
      <c r="H88" s="43" t="str">
        <f aca="false">IF($E88="","",IF(AND(H$4&gt;=$E88,H$4&lt;=$F88),IF($D88="Milestone","D",1),""))</f>
        <v/>
      </c>
      <c r="I88" s="43" t="str">
        <f aca="false">IF($E88="","",IF(AND(I$4&gt;=$E88,I$4&lt;=$F88),IF($D88="Milestone","D",1),""))</f>
        <v/>
      </c>
      <c r="J88" s="43" t="str">
        <f aca="false">IF($E88="","",IF(AND(J$4&gt;=$E88,J$4&lt;=$F88),IF($D88="Milestone","D",1),""))</f>
        <v/>
      </c>
      <c r="K88" s="43" t="str">
        <f aca="false">IF($E88="","",IF(AND(K$4&gt;=$E88,K$4&lt;=$F88),IF($D88="Milestone","D",1),""))</f>
        <v/>
      </c>
      <c r="L88" s="43" t="str">
        <f aca="false">IF($E88="","",IF(AND(L$4&gt;=$E88,L$4&lt;=$F88),IF($D88="Milestone","D",1),""))</f>
        <v/>
      </c>
      <c r="M88" s="43" t="str">
        <f aca="false">IF($E88="","",IF(AND(M$4&gt;=$E88,M$4&lt;=$F88),IF($D88="Milestone","D",1),""))</f>
        <v/>
      </c>
      <c r="N88" s="43" t="str">
        <f aca="false">IF($E88="","",IF(AND(N$4&gt;=$E88,N$4&lt;=$F88),IF($D88="Milestone","D",1),""))</f>
        <v/>
      </c>
      <c r="O88" s="43" t="str">
        <f aca="false">IF($E88="","",IF(AND(O$4&gt;=$E88,O$4&lt;=$F88),IF($D88="Milestone","D",1),""))</f>
        <v/>
      </c>
      <c r="P88" s="43" t="str">
        <f aca="false">IF($E88="","",IF(AND(P$4&gt;=$E88,P$4&lt;=$F88),IF($D88="Milestone","D",1),""))</f>
        <v/>
      </c>
      <c r="Q88" s="43" t="str">
        <f aca="false">IF($E88="","",IF(AND(Q$4&gt;=$E88,Q$4&lt;=$F88),IF($D88="Milestone","D",1),""))</f>
        <v/>
      </c>
      <c r="R88" s="43" t="n">
        <f aca="false">IF($E88="","",IF(AND(R$4&gt;=$E88,R$4&lt;=$F88),IF($D88="Milestone","D",1),""))</f>
        <v>1</v>
      </c>
      <c r="S88" s="43" t="n">
        <f aca="false">IF($E88="","",IF(AND(S$4&gt;=$E88,S$4&lt;=$F88),IF($D88="Milestone","D",1),""))</f>
        <v>1</v>
      </c>
      <c r="T88" s="43" t="n">
        <f aca="false">IF($E88="","",IF(AND(T$4&gt;=$E88,T$4&lt;=$F88),IF($D88="Milestone","D",1),""))</f>
        <v>1</v>
      </c>
      <c r="U88" s="43" t="n">
        <f aca="false">IF($E88="","",IF(AND(U$4&gt;=$E88,U$4&lt;=$F88),IF($D88="Milestone","D",1),""))</f>
        <v>1</v>
      </c>
      <c r="V88" s="43" t="n">
        <f aca="false">IF($E88="","",IF(AND(V$4&gt;=$E88,V$4&lt;=$F88),IF($D88="Milestone","D",1),""))</f>
        <v>1</v>
      </c>
      <c r="W88" s="43" t="n">
        <f aca="false">IF($E88="","",IF(AND(W$4&gt;=$E88,W$4&lt;=$F88),IF($D88="Milestone","D",1),""))</f>
        <v>1</v>
      </c>
      <c r="X88" s="43" t="n">
        <f aca="false">IF($E88="","",IF(AND(X$4&gt;=$E88,X$4&lt;=$F88),IF($D88="Milestone","D",1),""))</f>
        <v>1</v>
      </c>
      <c r="Y88" s="43" t="n">
        <f aca="false">IF($E88="","",IF(AND(Y$4&gt;=$E88,Y$4&lt;=$F88),IF($D88="Milestone","D",1),""))</f>
        <v>1</v>
      </c>
      <c r="Z88" s="43" t="n">
        <f aca="false">IF($E88="","",IF(AND(Z$4&gt;=$E88,Z$4&lt;=$F88),IF($D88="Milestone","D",1),""))</f>
        <v>1</v>
      </c>
      <c r="AA88" s="43" t="n">
        <f aca="false">IF($E88="","",IF(AND(AA$4&gt;=$E88,AA$4&lt;=$F88),IF($D88="Milestone","D",1),""))</f>
        <v>1</v>
      </c>
      <c r="AB88" s="43" t="n">
        <f aca="false">IF($E88="","",IF(AND(AB$4&gt;=$E88,AB$4&lt;=$F88),IF($D88="Milestone","D",1),""))</f>
        <v>1</v>
      </c>
      <c r="AC88" s="43" t="n">
        <f aca="false">IF($E88="","",IF(AND(AC$4&gt;=$E88,AC$4&lt;=$F88),IF($D88="Milestone","D",1),""))</f>
        <v>1</v>
      </c>
      <c r="AD88" s="43" t="n">
        <f aca="false">IF($E88="","",IF(AND(AD$4&gt;=$E88,AD$4&lt;=$F88),IF($D88="Milestone","D",1),""))</f>
        <v>1</v>
      </c>
      <c r="AE88" s="43" t="n">
        <f aca="false">IF($E88="","",IF(AND(AE$4&gt;=$E88,AE$4&lt;=$F88),IF($D88="Milestone","D",1),""))</f>
        <v>1</v>
      </c>
      <c r="AF88" s="43" t="n">
        <f aca="false">IF($E88="","",IF(AND(AF$4&gt;=$E88,AF$4&lt;=$F88),IF($D88="Milestone","D",1),""))</f>
        <v>1</v>
      </c>
      <c r="AG88" s="43" t="n">
        <f aca="false">IF($E88="","",IF(AND(AG$4&gt;=$E88,AG$4&lt;=$F88),IF($D88="Milestone","D",1),""))</f>
        <v>1</v>
      </c>
      <c r="AH88" s="43" t="n">
        <f aca="false">IF($E88="","",IF(AND(AH$4&gt;=$E88,AH$4&lt;=$F88),IF($D88="Milestone","D",1),""))</f>
        <v>1</v>
      </c>
    </row>
    <row r="89" customFormat="false" ht="15" hidden="false" customHeight="false" outlineLevel="0" collapsed="false">
      <c r="A89" s="40" t="str">
        <f aca="false">WBS!A86</f>
        <v>M0</v>
      </c>
      <c r="B89" s="41" t="str">
        <f aca="false">WBS!B86</f>
        <v>GATE: Procurement</v>
      </c>
      <c r="C89" s="40" t="str">
        <f aca="false">WBS!E86</f>
        <v>All</v>
      </c>
      <c r="D89" s="40" t="str">
        <f aca="false">WBS!D86</f>
        <v>Milestone</v>
      </c>
      <c r="E89" s="42" t="n">
        <f aca="false">WBS!L86</f>
        <v>46227</v>
      </c>
      <c r="F89" s="42" t="n">
        <f aca="false">WBS!M86</f>
        <v>46227</v>
      </c>
      <c r="G89" s="43" t="str">
        <f aca="false">IF($E89="","",IF(AND(G$4&gt;=$E89,G$4&lt;=$F89),IF($D89="Milestone","D",1),""))</f>
        <v/>
      </c>
      <c r="H89" s="43" t="str">
        <f aca="false">IF($E89="","",IF(AND(H$4&gt;=$E89,H$4&lt;=$F89),IF($D89="Milestone","D",1),""))</f>
        <v>D</v>
      </c>
      <c r="I89" s="43" t="str">
        <f aca="false">IF($E89="","",IF(AND(I$4&gt;=$E89,I$4&lt;=$F89),IF($D89="Milestone","D",1),""))</f>
        <v/>
      </c>
      <c r="J89" s="43" t="str">
        <f aca="false">IF($E89="","",IF(AND(J$4&gt;=$E89,J$4&lt;=$F89),IF($D89="Milestone","D",1),""))</f>
        <v/>
      </c>
      <c r="K89" s="43" t="str">
        <f aca="false">IF($E89="","",IF(AND(K$4&gt;=$E89,K$4&lt;=$F89),IF($D89="Milestone","D",1),""))</f>
        <v/>
      </c>
      <c r="L89" s="43" t="str">
        <f aca="false">IF($E89="","",IF(AND(L$4&gt;=$E89,L$4&lt;=$F89),IF($D89="Milestone","D",1),""))</f>
        <v/>
      </c>
      <c r="M89" s="43" t="str">
        <f aca="false">IF($E89="","",IF(AND(M$4&gt;=$E89,M$4&lt;=$F89),IF($D89="Milestone","D",1),""))</f>
        <v/>
      </c>
      <c r="N89" s="43" t="str">
        <f aca="false">IF($E89="","",IF(AND(N$4&gt;=$E89,N$4&lt;=$F89),IF($D89="Milestone","D",1),""))</f>
        <v/>
      </c>
      <c r="O89" s="43" t="str">
        <f aca="false">IF($E89="","",IF(AND(O$4&gt;=$E89,O$4&lt;=$F89),IF($D89="Milestone","D",1),""))</f>
        <v/>
      </c>
      <c r="P89" s="43" t="str">
        <f aca="false">IF($E89="","",IF(AND(P$4&gt;=$E89,P$4&lt;=$F89),IF($D89="Milestone","D",1),""))</f>
        <v/>
      </c>
      <c r="Q89" s="43" t="str">
        <f aca="false">IF($E89="","",IF(AND(Q$4&gt;=$E89,Q$4&lt;=$F89),IF($D89="Milestone","D",1),""))</f>
        <v/>
      </c>
      <c r="R89" s="43" t="str">
        <f aca="false">IF($E89="","",IF(AND(R$4&gt;=$E89,R$4&lt;=$F89),IF($D89="Milestone","D",1),""))</f>
        <v/>
      </c>
      <c r="S89" s="43" t="str">
        <f aca="false">IF($E89="","",IF(AND(S$4&gt;=$E89,S$4&lt;=$F89),IF($D89="Milestone","D",1),""))</f>
        <v/>
      </c>
      <c r="T89" s="43" t="str">
        <f aca="false">IF($E89="","",IF(AND(T$4&gt;=$E89,T$4&lt;=$F89),IF($D89="Milestone","D",1),""))</f>
        <v/>
      </c>
      <c r="U89" s="43" t="str">
        <f aca="false">IF($E89="","",IF(AND(U$4&gt;=$E89,U$4&lt;=$F89),IF($D89="Milestone","D",1),""))</f>
        <v/>
      </c>
      <c r="V89" s="43" t="str">
        <f aca="false">IF($E89="","",IF(AND(V$4&gt;=$E89,V$4&lt;=$F89),IF($D89="Milestone","D",1),""))</f>
        <v/>
      </c>
      <c r="W89" s="43" t="str">
        <f aca="false">IF($E89="","",IF(AND(W$4&gt;=$E89,W$4&lt;=$F89),IF($D89="Milestone","D",1),""))</f>
        <v/>
      </c>
      <c r="X89" s="43" t="str">
        <f aca="false">IF($E89="","",IF(AND(X$4&gt;=$E89,X$4&lt;=$F89),IF($D89="Milestone","D",1),""))</f>
        <v/>
      </c>
      <c r="Y89" s="43" t="str">
        <f aca="false">IF($E89="","",IF(AND(Y$4&gt;=$E89,Y$4&lt;=$F89),IF($D89="Milestone","D",1),""))</f>
        <v/>
      </c>
      <c r="Z89" s="43" t="str">
        <f aca="false">IF($E89="","",IF(AND(Z$4&gt;=$E89,Z$4&lt;=$F89),IF($D89="Milestone","D",1),""))</f>
        <v/>
      </c>
      <c r="AA89" s="43" t="str">
        <f aca="false">IF($E89="","",IF(AND(AA$4&gt;=$E89,AA$4&lt;=$F89),IF($D89="Milestone","D",1),""))</f>
        <v/>
      </c>
      <c r="AB89" s="43" t="str">
        <f aca="false">IF($E89="","",IF(AND(AB$4&gt;=$E89,AB$4&lt;=$F89),IF($D89="Milestone","D",1),""))</f>
        <v/>
      </c>
      <c r="AC89" s="43" t="str">
        <f aca="false">IF($E89="","",IF(AND(AC$4&gt;=$E89,AC$4&lt;=$F89),IF($D89="Milestone","D",1),""))</f>
        <v/>
      </c>
      <c r="AD89" s="43" t="str">
        <f aca="false">IF($E89="","",IF(AND(AD$4&gt;=$E89,AD$4&lt;=$F89),IF($D89="Milestone","D",1),""))</f>
        <v/>
      </c>
      <c r="AE89" s="43" t="str">
        <f aca="false">IF($E89="","",IF(AND(AE$4&gt;=$E89,AE$4&lt;=$F89),IF($D89="Milestone","D",1),""))</f>
        <v/>
      </c>
      <c r="AF89" s="43" t="str">
        <f aca="false">IF($E89="","",IF(AND(AF$4&gt;=$E89,AF$4&lt;=$F89),IF($D89="Milestone","D",1),""))</f>
        <v/>
      </c>
      <c r="AG89" s="43" t="str">
        <f aca="false">IF($E89="","",IF(AND(AG$4&gt;=$E89,AG$4&lt;=$F89),IF($D89="Milestone","D",1),""))</f>
        <v/>
      </c>
      <c r="AH89" s="43" t="str">
        <f aca="false">IF($E89="","",IF(AND(AH$4&gt;=$E89,AH$4&lt;=$F89),IF($D89="Milestone","D",1),""))</f>
        <v/>
      </c>
    </row>
    <row r="90" customFormat="false" ht="15" hidden="false" customHeight="false" outlineLevel="0" collapsed="false">
      <c r="A90" s="40" t="str">
        <f aca="false">WBS!A87</f>
        <v>M0b</v>
      </c>
      <c r="B90" s="41" t="str">
        <f aca="false">WBS!B87</f>
        <v>GATE: TDD draft body</v>
      </c>
      <c r="C90" s="40" t="str">
        <f aca="false">WBS!E87</f>
        <v>All</v>
      </c>
      <c r="D90" s="40" t="str">
        <f aca="false">WBS!D87</f>
        <v>Milestone</v>
      </c>
      <c r="E90" s="42" t="n">
        <f aca="false">WBS!L87</f>
        <v>46229</v>
      </c>
      <c r="F90" s="42" t="n">
        <f aca="false">WBS!M87</f>
        <v>46229</v>
      </c>
      <c r="G90" s="43" t="str">
        <f aca="false">IF($E90="","",IF(AND(G$4&gt;=$E90,G$4&lt;=$F90),IF($D90="Milestone","D",1),""))</f>
        <v/>
      </c>
      <c r="H90" s="43" t="str">
        <f aca="false">IF($E90="","",IF(AND(H$4&gt;=$E90,H$4&lt;=$F90),IF($D90="Milestone","D",1),""))</f>
        <v/>
      </c>
      <c r="I90" s="43" t="str">
        <f aca="false">IF($E90="","",IF(AND(I$4&gt;=$E90,I$4&lt;=$F90),IF($D90="Milestone","D",1),""))</f>
        <v/>
      </c>
      <c r="J90" s="43" t="str">
        <f aca="false">IF($E90="","",IF(AND(J$4&gt;=$E90,J$4&lt;=$F90),IF($D90="Milestone","D",1),""))</f>
        <v>D</v>
      </c>
      <c r="K90" s="43" t="str">
        <f aca="false">IF($E90="","",IF(AND(K$4&gt;=$E90,K$4&lt;=$F90),IF($D90="Milestone","D",1),""))</f>
        <v/>
      </c>
      <c r="L90" s="43" t="str">
        <f aca="false">IF($E90="","",IF(AND(L$4&gt;=$E90,L$4&lt;=$F90),IF($D90="Milestone","D",1),""))</f>
        <v/>
      </c>
      <c r="M90" s="43" t="str">
        <f aca="false">IF($E90="","",IF(AND(M$4&gt;=$E90,M$4&lt;=$F90),IF($D90="Milestone","D",1),""))</f>
        <v/>
      </c>
      <c r="N90" s="43" t="str">
        <f aca="false">IF($E90="","",IF(AND(N$4&gt;=$E90,N$4&lt;=$F90),IF($D90="Milestone","D",1),""))</f>
        <v/>
      </c>
      <c r="O90" s="43" t="str">
        <f aca="false">IF($E90="","",IF(AND(O$4&gt;=$E90,O$4&lt;=$F90),IF($D90="Milestone","D",1),""))</f>
        <v/>
      </c>
      <c r="P90" s="43" t="str">
        <f aca="false">IF($E90="","",IF(AND(P$4&gt;=$E90,P$4&lt;=$F90),IF($D90="Milestone","D",1),""))</f>
        <v/>
      </c>
      <c r="Q90" s="43" t="str">
        <f aca="false">IF($E90="","",IF(AND(Q$4&gt;=$E90,Q$4&lt;=$F90),IF($D90="Milestone","D",1),""))</f>
        <v/>
      </c>
      <c r="R90" s="43" t="str">
        <f aca="false">IF($E90="","",IF(AND(R$4&gt;=$E90,R$4&lt;=$F90),IF($D90="Milestone","D",1),""))</f>
        <v/>
      </c>
      <c r="S90" s="43" t="str">
        <f aca="false">IF($E90="","",IF(AND(S$4&gt;=$E90,S$4&lt;=$F90),IF($D90="Milestone","D",1),""))</f>
        <v/>
      </c>
      <c r="T90" s="43" t="str">
        <f aca="false">IF($E90="","",IF(AND(T$4&gt;=$E90,T$4&lt;=$F90),IF($D90="Milestone","D",1),""))</f>
        <v/>
      </c>
      <c r="U90" s="43" t="str">
        <f aca="false">IF($E90="","",IF(AND(U$4&gt;=$E90,U$4&lt;=$F90),IF($D90="Milestone","D",1),""))</f>
        <v/>
      </c>
      <c r="V90" s="43" t="str">
        <f aca="false">IF($E90="","",IF(AND(V$4&gt;=$E90,V$4&lt;=$F90),IF($D90="Milestone","D",1),""))</f>
        <v/>
      </c>
      <c r="W90" s="43" t="str">
        <f aca="false">IF($E90="","",IF(AND(W$4&gt;=$E90,W$4&lt;=$F90),IF($D90="Milestone","D",1),""))</f>
        <v/>
      </c>
      <c r="X90" s="43" t="str">
        <f aca="false">IF($E90="","",IF(AND(X$4&gt;=$E90,X$4&lt;=$F90),IF($D90="Milestone","D",1),""))</f>
        <v/>
      </c>
      <c r="Y90" s="43" t="str">
        <f aca="false">IF($E90="","",IF(AND(Y$4&gt;=$E90,Y$4&lt;=$F90),IF($D90="Milestone","D",1),""))</f>
        <v/>
      </c>
      <c r="Z90" s="43" t="str">
        <f aca="false">IF($E90="","",IF(AND(Z$4&gt;=$E90,Z$4&lt;=$F90),IF($D90="Milestone","D",1),""))</f>
        <v/>
      </c>
      <c r="AA90" s="43" t="str">
        <f aca="false">IF($E90="","",IF(AND(AA$4&gt;=$E90,AA$4&lt;=$F90),IF($D90="Milestone","D",1),""))</f>
        <v/>
      </c>
      <c r="AB90" s="43" t="str">
        <f aca="false">IF($E90="","",IF(AND(AB$4&gt;=$E90,AB$4&lt;=$F90),IF($D90="Milestone","D",1),""))</f>
        <v/>
      </c>
      <c r="AC90" s="43" t="str">
        <f aca="false">IF($E90="","",IF(AND(AC$4&gt;=$E90,AC$4&lt;=$F90),IF($D90="Milestone","D",1),""))</f>
        <v/>
      </c>
      <c r="AD90" s="43" t="str">
        <f aca="false">IF($E90="","",IF(AND(AD$4&gt;=$E90,AD$4&lt;=$F90),IF($D90="Milestone","D",1),""))</f>
        <v/>
      </c>
      <c r="AE90" s="43" t="str">
        <f aca="false">IF($E90="","",IF(AND(AE$4&gt;=$E90,AE$4&lt;=$F90),IF($D90="Milestone","D",1),""))</f>
        <v/>
      </c>
      <c r="AF90" s="43" t="str">
        <f aca="false">IF($E90="","",IF(AND(AF$4&gt;=$E90,AF$4&lt;=$F90),IF($D90="Milestone","D",1),""))</f>
        <v/>
      </c>
      <c r="AG90" s="43" t="str">
        <f aca="false">IF($E90="","",IF(AND(AG$4&gt;=$E90,AG$4&lt;=$F90),IF($D90="Milestone","D",1),""))</f>
        <v/>
      </c>
      <c r="AH90" s="43" t="str">
        <f aca="false">IF($E90="","",IF(AND(AH$4&gt;=$E90,AH$4&lt;=$F90),IF($D90="Milestone","D",1),""))</f>
        <v/>
      </c>
    </row>
    <row r="91" customFormat="false" ht="15" hidden="false" customHeight="false" outlineLevel="0" collapsed="false">
      <c r="A91" s="40" t="str">
        <f aca="false">WBS!A88</f>
        <v>M1</v>
      </c>
      <c r="B91" s="41" t="str">
        <f aca="false">WBS!B88</f>
        <v>GATE: Electrical chain</v>
      </c>
      <c r="C91" s="40" t="str">
        <f aca="false">WBS!E88</f>
        <v>All</v>
      </c>
      <c r="D91" s="40" t="str">
        <f aca="false">WBS!D88</f>
        <v>Milestone</v>
      </c>
      <c r="E91" s="42" t="n">
        <f aca="false">WBS!L88</f>
        <v>46234</v>
      </c>
      <c r="F91" s="42" t="n">
        <f aca="false">WBS!M88</f>
        <v>46234</v>
      </c>
      <c r="G91" s="43" t="str">
        <f aca="false">IF($E91="","",IF(AND(G$4&gt;=$E91,G$4&lt;=$F91),IF($D91="Milestone","D",1),""))</f>
        <v/>
      </c>
      <c r="H91" s="43" t="str">
        <f aca="false">IF($E91="","",IF(AND(H$4&gt;=$E91,H$4&lt;=$F91),IF($D91="Milestone","D",1),""))</f>
        <v/>
      </c>
      <c r="I91" s="43" t="str">
        <f aca="false">IF($E91="","",IF(AND(I$4&gt;=$E91,I$4&lt;=$F91),IF($D91="Milestone","D",1),""))</f>
        <v/>
      </c>
      <c r="J91" s="43" t="str">
        <f aca="false">IF($E91="","",IF(AND(J$4&gt;=$E91,J$4&lt;=$F91),IF($D91="Milestone","D",1),""))</f>
        <v/>
      </c>
      <c r="K91" s="43" t="str">
        <f aca="false">IF($E91="","",IF(AND(K$4&gt;=$E91,K$4&lt;=$F91),IF($D91="Milestone","D",1),""))</f>
        <v/>
      </c>
      <c r="L91" s="43" t="str">
        <f aca="false">IF($E91="","",IF(AND(L$4&gt;=$E91,L$4&lt;=$F91),IF($D91="Milestone","D",1),""))</f>
        <v/>
      </c>
      <c r="M91" s="43" t="str">
        <f aca="false">IF($E91="","",IF(AND(M$4&gt;=$E91,M$4&lt;=$F91),IF($D91="Milestone","D",1),""))</f>
        <v/>
      </c>
      <c r="N91" s="43" t="str">
        <f aca="false">IF($E91="","",IF(AND(N$4&gt;=$E91,N$4&lt;=$F91),IF($D91="Milestone","D",1),""))</f>
        <v/>
      </c>
      <c r="O91" s="43" t="str">
        <f aca="false">IF($E91="","",IF(AND(O$4&gt;=$E91,O$4&lt;=$F91),IF($D91="Milestone","D",1),""))</f>
        <v>D</v>
      </c>
      <c r="P91" s="43" t="str">
        <f aca="false">IF($E91="","",IF(AND(P$4&gt;=$E91,P$4&lt;=$F91),IF($D91="Milestone","D",1),""))</f>
        <v/>
      </c>
      <c r="Q91" s="43" t="str">
        <f aca="false">IF($E91="","",IF(AND(Q$4&gt;=$E91,Q$4&lt;=$F91),IF($D91="Milestone","D",1),""))</f>
        <v/>
      </c>
      <c r="R91" s="43" t="str">
        <f aca="false">IF($E91="","",IF(AND(R$4&gt;=$E91,R$4&lt;=$F91),IF($D91="Milestone","D",1),""))</f>
        <v/>
      </c>
      <c r="S91" s="43" t="str">
        <f aca="false">IF($E91="","",IF(AND(S$4&gt;=$E91,S$4&lt;=$F91),IF($D91="Milestone","D",1),""))</f>
        <v/>
      </c>
      <c r="T91" s="43" t="str">
        <f aca="false">IF($E91="","",IF(AND(T$4&gt;=$E91,T$4&lt;=$F91),IF($D91="Milestone","D",1),""))</f>
        <v/>
      </c>
      <c r="U91" s="43" t="str">
        <f aca="false">IF($E91="","",IF(AND(U$4&gt;=$E91,U$4&lt;=$F91),IF($D91="Milestone","D",1),""))</f>
        <v/>
      </c>
      <c r="V91" s="43" t="str">
        <f aca="false">IF($E91="","",IF(AND(V$4&gt;=$E91,V$4&lt;=$F91),IF($D91="Milestone","D",1),""))</f>
        <v/>
      </c>
      <c r="W91" s="43" t="str">
        <f aca="false">IF($E91="","",IF(AND(W$4&gt;=$E91,W$4&lt;=$F91),IF($D91="Milestone","D",1),""))</f>
        <v/>
      </c>
      <c r="X91" s="43" t="str">
        <f aca="false">IF($E91="","",IF(AND(X$4&gt;=$E91,X$4&lt;=$F91),IF($D91="Milestone","D",1),""))</f>
        <v/>
      </c>
      <c r="Y91" s="43" t="str">
        <f aca="false">IF($E91="","",IF(AND(Y$4&gt;=$E91,Y$4&lt;=$F91),IF($D91="Milestone","D",1),""))</f>
        <v/>
      </c>
      <c r="Z91" s="43" t="str">
        <f aca="false">IF($E91="","",IF(AND(Z$4&gt;=$E91,Z$4&lt;=$F91),IF($D91="Milestone","D",1),""))</f>
        <v/>
      </c>
      <c r="AA91" s="43" t="str">
        <f aca="false">IF($E91="","",IF(AND(AA$4&gt;=$E91,AA$4&lt;=$F91),IF($D91="Milestone","D",1),""))</f>
        <v/>
      </c>
      <c r="AB91" s="43" t="str">
        <f aca="false">IF($E91="","",IF(AND(AB$4&gt;=$E91,AB$4&lt;=$F91),IF($D91="Milestone","D",1),""))</f>
        <v/>
      </c>
      <c r="AC91" s="43" t="str">
        <f aca="false">IF($E91="","",IF(AND(AC$4&gt;=$E91,AC$4&lt;=$F91),IF($D91="Milestone","D",1),""))</f>
        <v/>
      </c>
      <c r="AD91" s="43" t="str">
        <f aca="false">IF($E91="","",IF(AND(AD$4&gt;=$E91,AD$4&lt;=$F91),IF($D91="Milestone","D",1),""))</f>
        <v/>
      </c>
      <c r="AE91" s="43" t="str">
        <f aca="false">IF($E91="","",IF(AND(AE$4&gt;=$E91,AE$4&lt;=$F91),IF($D91="Milestone","D",1),""))</f>
        <v/>
      </c>
      <c r="AF91" s="43" t="str">
        <f aca="false">IF($E91="","",IF(AND(AF$4&gt;=$E91,AF$4&lt;=$F91),IF($D91="Milestone","D",1),""))</f>
        <v/>
      </c>
      <c r="AG91" s="43" t="str">
        <f aca="false">IF($E91="","",IF(AND(AG$4&gt;=$E91,AG$4&lt;=$F91),IF($D91="Milestone","D",1),""))</f>
        <v/>
      </c>
      <c r="AH91" s="43" t="str">
        <f aca="false">IF($E91="","",IF(AND(AH$4&gt;=$E91,AH$4&lt;=$F91),IF($D91="Milestone","D",1),""))</f>
        <v/>
      </c>
    </row>
    <row r="92" customFormat="false" ht="15" hidden="false" customHeight="false" outlineLevel="0" collapsed="false">
      <c r="A92" s="40" t="str">
        <f aca="false">WBS!A89</f>
        <v>M2</v>
      </c>
      <c r="B92" s="41" t="str">
        <f aca="false">WBS!B89</f>
        <v>GATE: Stage S1 complete</v>
      </c>
      <c r="C92" s="40" t="str">
        <f aca="false">WBS!E89</f>
        <v>All</v>
      </c>
      <c r="D92" s="40" t="str">
        <f aca="false">WBS!D89</f>
        <v>Milestone</v>
      </c>
      <c r="E92" s="42" t="n">
        <f aca="false">WBS!L89</f>
        <v>46236</v>
      </c>
      <c r="F92" s="42" t="n">
        <f aca="false">WBS!M89</f>
        <v>46236</v>
      </c>
      <c r="G92" s="43" t="str">
        <f aca="false">IF($E92="","",IF(AND(G$4&gt;=$E92,G$4&lt;=$F92),IF($D92="Milestone","D",1),""))</f>
        <v/>
      </c>
      <c r="H92" s="43" t="str">
        <f aca="false">IF($E92="","",IF(AND(H$4&gt;=$E92,H$4&lt;=$F92),IF($D92="Milestone","D",1),""))</f>
        <v/>
      </c>
      <c r="I92" s="43" t="str">
        <f aca="false">IF($E92="","",IF(AND(I$4&gt;=$E92,I$4&lt;=$F92),IF($D92="Milestone","D",1),""))</f>
        <v/>
      </c>
      <c r="J92" s="43" t="str">
        <f aca="false">IF($E92="","",IF(AND(J$4&gt;=$E92,J$4&lt;=$F92),IF($D92="Milestone","D",1),""))</f>
        <v/>
      </c>
      <c r="K92" s="43" t="str">
        <f aca="false">IF($E92="","",IF(AND(K$4&gt;=$E92,K$4&lt;=$F92),IF($D92="Milestone","D",1),""))</f>
        <v/>
      </c>
      <c r="L92" s="43" t="str">
        <f aca="false">IF($E92="","",IF(AND(L$4&gt;=$E92,L$4&lt;=$F92),IF($D92="Milestone","D",1),""))</f>
        <v/>
      </c>
      <c r="M92" s="43" t="str">
        <f aca="false">IF($E92="","",IF(AND(M$4&gt;=$E92,M$4&lt;=$F92),IF($D92="Milestone","D",1),""))</f>
        <v/>
      </c>
      <c r="N92" s="43" t="str">
        <f aca="false">IF($E92="","",IF(AND(N$4&gt;=$E92,N$4&lt;=$F92),IF($D92="Milestone","D",1),""))</f>
        <v/>
      </c>
      <c r="O92" s="43" t="str">
        <f aca="false">IF($E92="","",IF(AND(O$4&gt;=$E92,O$4&lt;=$F92),IF($D92="Milestone","D",1),""))</f>
        <v/>
      </c>
      <c r="P92" s="43" t="str">
        <f aca="false">IF($E92="","",IF(AND(P$4&gt;=$E92,P$4&lt;=$F92),IF($D92="Milestone","D",1),""))</f>
        <v/>
      </c>
      <c r="Q92" s="43" t="str">
        <f aca="false">IF($E92="","",IF(AND(Q$4&gt;=$E92,Q$4&lt;=$F92),IF($D92="Milestone","D",1),""))</f>
        <v>D</v>
      </c>
      <c r="R92" s="43" t="str">
        <f aca="false">IF($E92="","",IF(AND(R$4&gt;=$E92,R$4&lt;=$F92),IF($D92="Milestone","D",1),""))</f>
        <v/>
      </c>
      <c r="S92" s="43" t="str">
        <f aca="false">IF($E92="","",IF(AND(S$4&gt;=$E92,S$4&lt;=$F92),IF($D92="Milestone","D",1),""))</f>
        <v/>
      </c>
      <c r="T92" s="43" t="str">
        <f aca="false">IF($E92="","",IF(AND(T$4&gt;=$E92,T$4&lt;=$F92),IF($D92="Milestone","D",1),""))</f>
        <v/>
      </c>
      <c r="U92" s="43" t="str">
        <f aca="false">IF($E92="","",IF(AND(U$4&gt;=$E92,U$4&lt;=$F92),IF($D92="Milestone","D",1),""))</f>
        <v/>
      </c>
      <c r="V92" s="43" t="str">
        <f aca="false">IF($E92="","",IF(AND(V$4&gt;=$E92,V$4&lt;=$F92),IF($D92="Milestone","D",1),""))</f>
        <v/>
      </c>
      <c r="W92" s="43" t="str">
        <f aca="false">IF($E92="","",IF(AND(W$4&gt;=$E92,W$4&lt;=$F92),IF($D92="Milestone","D",1),""))</f>
        <v/>
      </c>
      <c r="X92" s="43" t="str">
        <f aca="false">IF($E92="","",IF(AND(X$4&gt;=$E92,X$4&lt;=$F92),IF($D92="Milestone","D",1),""))</f>
        <v/>
      </c>
      <c r="Y92" s="43" t="str">
        <f aca="false">IF($E92="","",IF(AND(Y$4&gt;=$E92,Y$4&lt;=$F92),IF($D92="Milestone","D",1),""))</f>
        <v/>
      </c>
      <c r="Z92" s="43" t="str">
        <f aca="false">IF($E92="","",IF(AND(Z$4&gt;=$E92,Z$4&lt;=$F92),IF($D92="Milestone","D",1),""))</f>
        <v/>
      </c>
      <c r="AA92" s="43" t="str">
        <f aca="false">IF($E92="","",IF(AND(AA$4&gt;=$E92,AA$4&lt;=$F92),IF($D92="Milestone","D",1),""))</f>
        <v/>
      </c>
      <c r="AB92" s="43" t="str">
        <f aca="false">IF($E92="","",IF(AND(AB$4&gt;=$E92,AB$4&lt;=$F92),IF($D92="Milestone","D",1),""))</f>
        <v/>
      </c>
      <c r="AC92" s="43" t="str">
        <f aca="false">IF($E92="","",IF(AND(AC$4&gt;=$E92,AC$4&lt;=$F92),IF($D92="Milestone","D",1),""))</f>
        <v/>
      </c>
      <c r="AD92" s="43" t="str">
        <f aca="false">IF($E92="","",IF(AND(AD$4&gt;=$E92,AD$4&lt;=$F92),IF($D92="Milestone","D",1),""))</f>
        <v/>
      </c>
      <c r="AE92" s="43" t="str">
        <f aca="false">IF($E92="","",IF(AND(AE$4&gt;=$E92,AE$4&lt;=$F92),IF($D92="Milestone","D",1),""))</f>
        <v/>
      </c>
      <c r="AF92" s="43" t="str">
        <f aca="false">IF($E92="","",IF(AND(AF$4&gt;=$E92,AF$4&lt;=$F92),IF($D92="Milestone","D",1),""))</f>
        <v/>
      </c>
      <c r="AG92" s="43" t="str">
        <f aca="false">IF($E92="","",IF(AND(AG$4&gt;=$E92,AG$4&lt;=$F92),IF($D92="Milestone","D",1),""))</f>
        <v/>
      </c>
      <c r="AH92" s="43" t="str">
        <f aca="false">IF($E92="","",IF(AND(AH$4&gt;=$E92,AH$4&lt;=$F92),IF($D92="Milestone","D",1),""))</f>
        <v/>
      </c>
    </row>
    <row r="93" customFormat="false" ht="15" hidden="false" customHeight="false" outlineLevel="0" collapsed="false">
      <c r="A93" s="40" t="str">
        <f aca="false">WBS!A90</f>
        <v>M3</v>
      </c>
      <c r="B93" s="41" t="str">
        <f aca="false">WBS!B90</f>
        <v>GATE: TDD v1 submitted</v>
      </c>
      <c r="C93" s="40" t="str">
        <f aca="false">WBS!E90</f>
        <v>All</v>
      </c>
      <c r="D93" s="40" t="str">
        <f aca="false">WBS!D90</f>
        <v>Milestone</v>
      </c>
      <c r="E93" s="42" t="n">
        <f aca="false">WBS!L90</f>
        <v>46237</v>
      </c>
      <c r="F93" s="42" t="n">
        <f aca="false">WBS!M90</f>
        <v>46237</v>
      </c>
      <c r="G93" s="43" t="str">
        <f aca="false">IF($E93="","",IF(AND(G$4&gt;=$E93,G$4&lt;=$F93),IF($D93="Milestone","D",1),""))</f>
        <v/>
      </c>
      <c r="H93" s="43" t="str">
        <f aca="false">IF($E93="","",IF(AND(H$4&gt;=$E93,H$4&lt;=$F93),IF($D93="Milestone","D",1),""))</f>
        <v/>
      </c>
      <c r="I93" s="43" t="str">
        <f aca="false">IF($E93="","",IF(AND(I$4&gt;=$E93,I$4&lt;=$F93),IF($D93="Milestone","D",1),""))</f>
        <v/>
      </c>
      <c r="J93" s="43" t="str">
        <f aca="false">IF($E93="","",IF(AND(J$4&gt;=$E93,J$4&lt;=$F93),IF($D93="Milestone","D",1),""))</f>
        <v/>
      </c>
      <c r="K93" s="43" t="str">
        <f aca="false">IF($E93="","",IF(AND(K$4&gt;=$E93,K$4&lt;=$F93),IF($D93="Milestone","D",1),""))</f>
        <v/>
      </c>
      <c r="L93" s="43" t="str">
        <f aca="false">IF($E93="","",IF(AND(L$4&gt;=$E93,L$4&lt;=$F93),IF($D93="Milestone","D",1),""))</f>
        <v/>
      </c>
      <c r="M93" s="43" t="str">
        <f aca="false">IF($E93="","",IF(AND(M$4&gt;=$E93,M$4&lt;=$F93),IF($D93="Milestone","D",1),""))</f>
        <v/>
      </c>
      <c r="N93" s="43" t="str">
        <f aca="false">IF($E93="","",IF(AND(N$4&gt;=$E93,N$4&lt;=$F93),IF($D93="Milestone","D",1),""))</f>
        <v/>
      </c>
      <c r="O93" s="43" t="str">
        <f aca="false">IF($E93="","",IF(AND(O$4&gt;=$E93,O$4&lt;=$F93),IF($D93="Milestone","D",1),""))</f>
        <v/>
      </c>
      <c r="P93" s="43" t="str">
        <f aca="false">IF($E93="","",IF(AND(P$4&gt;=$E93,P$4&lt;=$F93),IF($D93="Milestone","D",1),""))</f>
        <v/>
      </c>
      <c r="Q93" s="43" t="str">
        <f aca="false">IF($E93="","",IF(AND(Q$4&gt;=$E93,Q$4&lt;=$F93),IF($D93="Milestone","D",1),""))</f>
        <v/>
      </c>
      <c r="R93" s="43" t="str">
        <f aca="false">IF($E93="","",IF(AND(R$4&gt;=$E93,R$4&lt;=$F93),IF($D93="Milestone","D",1),""))</f>
        <v>D</v>
      </c>
      <c r="S93" s="43" t="str">
        <f aca="false">IF($E93="","",IF(AND(S$4&gt;=$E93,S$4&lt;=$F93),IF($D93="Milestone","D",1),""))</f>
        <v/>
      </c>
      <c r="T93" s="43" t="str">
        <f aca="false">IF($E93="","",IF(AND(T$4&gt;=$E93,T$4&lt;=$F93),IF($D93="Milestone","D",1),""))</f>
        <v/>
      </c>
      <c r="U93" s="43" t="str">
        <f aca="false">IF($E93="","",IF(AND(U$4&gt;=$E93,U$4&lt;=$F93),IF($D93="Milestone","D",1),""))</f>
        <v/>
      </c>
      <c r="V93" s="43" t="str">
        <f aca="false">IF($E93="","",IF(AND(V$4&gt;=$E93,V$4&lt;=$F93),IF($D93="Milestone","D",1),""))</f>
        <v/>
      </c>
      <c r="W93" s="43" t="str">
        <f aca="false">IF($E93="","",IF(AND(W$4&gt;=$E93,W$4&lt;=$F93),IF($D93="Milestone","D",1),""))</f>
        <v/>
      </c>
      <c r="X93" s="43" t="str">
        <f aca="false">IF($E93="","",IF(AND(X$4&gt;=$E93,X$4&lt;=$F93),IF($D93="Milestone","D",1),""))</f>
        <v/>
      </c>
      <c r="Y93" s="43" t="str">
        <f aca="false">IF($E93="","",IF(AND(Y$4&gt;=$E93,Y$4&lt;=$F93),IF($D93="Milestone","D",1),""))</f>
        <v/>
      </c>
      <c r="Z93" s="43" t="str">
        <f aca="false">IF($E93="","",IF(AND(Z$4&gt;=$E93,Z$4&lt;=$F93),IF($D93="Milestone","D",1),""))</f>
        <v/>
      </c>
      <c r="AA93" s="43" t="str">
        <f aca="false">IF($E93="","",IF(AND(AA$4&gt;=$E93,AA$4&lt;=$F93),IF($D93="Milestone","D",1),""))</f>
        <v/>
      </c>
      <c r="AB93" s="43" t="str">
        <f aca="false">IF($E93="","",IF(AND(AB$4&gt;=$E93,AB$4&lt;=$F93),IF($D93="Milestone","D",1),""))</f>
        <v/>
      </c>
      <c r="AC93" s="43" t="str">
        <f aca="false">IF($E93="","",IF(AND(AC$4&gt;=$E93,AC$4&lt;=$F93),IF($D93="Milestone","D",1),""))</f>
        <v/>
      </c>
      <c r="AD93" s="43" t="str">
        <f aca="false">IF($E93="","",IF(AND(AD$4&gt;=$E93,AD$4&lt;=$F93),IF($D93="Milestone","D",1),""))</f>
        <v/>
      </c>
      <c r="AE93" s="43" t="str">
        <f aca="false">IF($E93="","",IF(AND(AE$4&gt;=$E93,AE$4&lt;=$F93),IF($D93="Milestone","D",1),""))</f>
        <v/>
      </c>
      <c r="AF93" s="43" t="str">
        <f aca="false">IF($E93="","",IF(AND(AF$4&gt;=$E93,AF$4&lt;=$F93),IF($D93="Milestone","D",1),""))</f>
        <v/>
      </c>
      <c r="AG93" s="43" t="str">
        <f aca="false">IF($E93="","",IF(AND(AG$4&gt;=$E93,AG$4&lt;=$F93),IF($D93="Milestone","D",1),""))</f>
        <v/>
      </c>
      <c r="AH93" s="43" t="str">
        <f aca="false">IF($E93="","",IF(AND(AH$4&gt;=$E93,AH$4&lt;=$F93),IF($D93="Milestone","D",1),""))</f>
        <v/>
      </c>
    </row>
    <row r="94" customFormat="false" ht="15" hidden="false" customHeight="false" outlineLevel="0" collapsed="false">
      <c r="A94" s="40" t="str">
        <f aca="false">WBS!A91</f>
        <v>M4</v>
      </c>
      <c r="B94" s="41" t="str">
        <f aca="false">WBS!B91</f>
        <v>GATE: Cube integrated</v>
      </c>
      <c r="C94" s="40" t="str">
        <f aca="false">WBS!E91</f>
        <v>All</v>
      </c>
      <c r="D94" s="40" t="str">
        <f aca="false">WBS!D91</f>
        <v>Milestone</v>
      </c>
      <c r="E94" s="42" t="n">
        <f aca="false">WBS!L91</f>
        <v>46243</v>
      </c>
      <c r="F94" s="42" t="n">
        <f aca="false">WBS!M91</f>
        <v>46243</v>
      </c>
      <c r="G94" s="43" t="str">
        <f aca="false">IF($E94="","",IF(AND(G$4&gt;=$E94,G$4&lt;=$F94),IF($D94="Milestone","D",1),""))</f>
        <v/>
      </c>
      <c r="H94" s="43" t="str">
        <f aca="false">IF($E94="","",IF(AND(H$4&gt;=$E94,H$4&lt;=$F94),IF($D94="Milestone","D",1),""))</f>
        <v/>
      </c>
      <c r="I94" s="43" t="str">
        <f aca="false">IF($E94="","",IF(AND(I$4&gt;=$E94,I$4&lt;=$F94),IF($D94="Milestone","D",1),""))</f>
        <v/>
      </c>
      <c r="J94" s="43" t="str">
        <f aca="false">IF($E94="","",IF(AND(J$4&gt;=$E94,J$4&lt;=$F94),IF($D94="Milestone","D",1),""))</f>
        <v/>
      </c>
      <c r="K94" s="43" t="str">
        <f aca="false">IF($E94="","",IF(AND(K$4&gt;=$E94,K$4&lt;=$F94),IF($D94="Milestone","D",1),""))</f>
        <v/>
      </c>
      <c r="L94" s="43" t="str">
        <f aca="false">IF($E94="","",IF(AND(L$4&gt;=$E94,L$4&lt;=$F94),IF($D94="Milestone","D",1),""))</f>
        <v/>
      </c>
      <c r="M94" s="43" t="str">
        <f aca="false">IF($E94="","",IF(AND(M$4&gt;=$E94,M$4&lt;=$F94),IF($D94="Milestone","D",1),""))</f>
        <v/>
      </c>
      <c r="N94" s="43" t="str">
        <f aca="false">IF($E94="","",IF(AND(N$4&gt;=$E94,N$4&lt;=$F94),IF($D94="Milestone","D",1),""))</f>
        <v/>
      </c>
      <c r="O94" s="43" t="str">
        <f aca="false">IF($E94="","",IF(AND(O$4&gt;=$E94,O$4&lt;=$F94),IF($D94="Milestone","D",1),""))</f>
        <v/>
      </c>
      <c r="P94" s="43" t="str">
        <f aca="false">IF($E94="","",IF(AND(P$4&gt;=$E94,P$4&lt;=$F94),IF($D94="Milestone","D",1),""))</f>
        <v/>
      </c>
      <c r="Q94" s="43" t="str">
        <f aca="false">IF($E94="","",IF(AND(Q$4&gt;=$E94,Q$4&lt;=$F94),IF($D94="Milestone","D",1),""))</f>
        <v/>
      </c>
      <c r="R94" s="43" t="str">
        <f aca="false">IF($E94="","",IF(AND(R$4&gt;=$E94,R$4&lt;=$F94),IF($D94="Milestone","D",1),""))</f>
        <v/>
      </c>
      <c r="S94" s="43" t="str">
        <f aca="false">IF($E94="","",IF(AND(S$4&gt;=$E94,S$4&lt;=$F94),IF($D94="Milestone","D",1),""))</f>
        <v/>
      </c>
      <c r="T94" s="43" t="str">
        <f aca="false">IF($E94="","",IF(AND(T$4&gt;=$E94,T$4&lt;=$F94),IF($D94="Milestone","D",1),""))</f>
        <v/>
      </c>
      <c r="U94" s="43" t="str">
        <f aca="false">IF($E94="","",IF(AND(U$4&gt;=$E94,U$4&lt;=$F94),IF($D94="Milestone","D",1),""))</f>
        <v/>
      </c>
      <c r="V94" s="43" t="str">
        <f aca="false">IF($E94="","",IF(AND(V$4&gt;=$E94,V$4&lt;=$F94),IF($D94="Milestone","D",1),""))</f>
        <v/>
      </c>
      <c r="W94" s="43" t="str">
        <f aca="false">IF($E94="","",IF(AND(W$4&gt;=$E94,W$4&lt;=$F94),IF($D94="Milestone","D",1),""))</f>
        <v/>
      </c>
      <c r="X94" s="43" t="str">
        <f aca="false">IF($E94="","",IF(AND(X$4&gt;=$E94,X$4&lt;=$F94),IF($D94="Milestone","D",1),""))</f>
        <v>D</v>
      </c>
      <c r="Y94" s="43" t="str">
        <f aca="false">IF($E94="","",IF(AND(Y$4&gt;=$E94,Y$4&lt;=$F94),IF($D94="Milestone","D",1),""))</f>
        <v/>
      </c>
      <c r="Z94" s="43" t="str">
        <f aca="false">IF($E94="","",IF(AND(Z$4&gt;=$E94,Z$4&lt;=$F94),IF($D94="Milestone","D",1),""))</f>
        <v/>
      </c>
      <c r="AA94" s="43" t="str">
        <f aca="false">IF($E94="","",IF(AND(AA$4&gt;=$E94,AA$4&lt;=$F94),IF($D94="Milestone","D",1),""))</f>
        <v/>
      </c>
      <c r="AB94" s="43" t="str">
        <f aca="false">IF($E94="","",IF(AND(AB$4&gt;=$E94,AB$4&lt;=$F94),IF($D94="Milestone","D",1),""))</f>
        <v/>
      </c>
      <c r="AC94" s="43" t="str">
        <f aca="false">IF($E94="","",IF(AND(AC$4&gt;=$E94,AC$4&lt;=$F94),IF($D94="Milestone","D",1),""))</f>
        <v/>
      </c>
      <c r="AD94" s="43" t="str">
        <f aca="false">IF($E94="","",IF(AND(AD$4&gt;=$E94,AD$4&lt;=$F94),IF($D94="Milestone","D",1),""))</f>
        <v/>
      </c>
      <c r="AE94" s="43" t="str">
        <f aca="false">IF($E94="","",IF(AND(AE$4&gt;=$E94,AE$4&lt;=$F94),IF($D94="Milestone","D",1),""))</f>
        <v/>
      </c>
      <c r="AF94" s="43" t="str">
        <f aca="false">IF($E94="","",IF(AND(AF$4&gt;=$E94,AF$4&lt;=$F94),IF($D94="Milestone","D",1),""))</f>
        <v/>
      </c>
      <c r="AG94" s="43" t="str">
        <f aca="false">IF($E94="","",IF(AND(AG$4&gt;=$E94,AG$4&lt;=$F94),IF($D94="Milestone","D",1),""))</f>
        <v/>
      </c>
      <c r="AH94" s="43" t="str">
        <f aca="false">IF($E94="","",IF(AND(AH$4&gt;=$E94,AH$4&lt;=$F94),IF($D94="Milestone","D",1),""))</f>
        <v/>
      </c>
    </row>
    <row r="95" customFormat="false" ht="15" hidden="false" customHeight="false" outlineLevel="0" collapsed="false">
      <c r="A95" s="40" t="str">
        <f aca="false">WBS!A92</f>
        <v>M5</v>
      </c>
      <c r="B95" s="41" t="str">
        <f aca="false">WBS!B92</f>
        <v>GATE: Stage S2a - edge</v>
      </c>
      <c r="C95" s="40" t="str">
        <f aca="false">WBS!E92</f>
        <v>All</v>
      </c>
      <c r="D95" s="40" t="str">
        <f aca="false">WBS!D92</f>
        <v>Milestone</v>
      </c>
      <c r="E95" s="42" t="n">
        <f aca="false">WBS!L92</f>
        <v>46247</v>
      </c>
      <c r="F95" s="42" t="n">
        <f aca="false">WBS!M92</f>
        <v>46247</v>
      </c>
      <c r="G95" s="43" t="str">
        <f aca="false">IF($E95="","",IF(AND(G$4&gt;=$E95,G$4&lt;=$F95),IF($D95="Milestone","D",1),""))</f>
        <v/>
      </c>
      <c r="H95" s="43" t="str">
        <f aca="false">IF($E95="","",IF(AND(H$4&gt;=$E95,H$4&lt;=$F95),IF($D95="Milestone","D",1),""))</f>
        <v/>
      </c>
      <c r="I95" s="43" t="str">
        <f aca="false">IF($E95="","",IF(AND(I$4&gt;=$E95,I$4&lt;=$F95),IF($D95="Milestone","D",1),""))</f>
        <v/>
      </c>
      <c r="J95" s="43" t="str">
        <f aca="false">IF($E95="","",IF(AND(J$4&gt;=$E95,J$4&lt;=$F95),IF($D95="Milestone","D",1),""))</f>
        <v/>
      </c>
      <c r="K95" s="43" t="str">
        <f aca="false">IF($E95="","",IF(AND(K$4&gt;=$E95,K$4&lt;=$F95),IF($D95="Milestone","D",1),""))</f>
        <v/>
      </c>
      <c r="L95" s="43" t="str">
        <f aca="false">IF($E95="","",IF(AND(L$4&gt;=$E95,L$4&lt;=$F95),IF($D95="Milestone","D",1),""))</f>
        <v/>
      </c>
      <c r="M95" s="43" t="str">
        <f aca="false">IF($E95="","",IF(AND(M$4&gt;=$E95,M$4&lt;=$F95),IF($D95="Milestone","D",1),""))</f>
        <v/>
      </c>
      <c r="N95" s="43" t="str">
        <f aca="false">IF($E95="","",IF(AND(N$4&gt;=$E95,N$4&lt;=$F95),IF($D95="Milestone","D",1),""))</f>
        <v/>
      </c>
      <c r="O95" s="43" t="str">
        <f aca="false">IF($E95="","",IF(AND(O$4&gt;=$E95,O$4&lt;=$F95),IF($D95="Milestone","D",1),""))</f>
        <v/>
      </c>
      <c r="P95" s="43" t="str">
        <f aca="false">IF($E95="","",IF(AND(P$4&gt;=$E95,P$4&lt;=$F95),IF($D95="Milestone","D",1),""))</f>
        <v/>
      </c>
      <c r="Q95" s="43" t="str">
        <f aca="false">IF($E95="","",IF(AND(Q$4&gt;=$E95,Q$4&lt;=$F95),IF($D95="Milestone","D",1),""))</f>
        <v/>
      </c>
      <c r="R95" s="43" t="str">
        <f aca="false">IF($E95="","",IF(AND(R$4&gt;=$E95,R$4&lt;=$F95),IF($D95="Milestone","D",1),""))</f>
        <v/>
      </c>
      <c r="S95" s="43" t="str">
        <f aca="false">IF($E95="","",IF(AND(S$4&gt;=$E95,S$4&lt;=$F95),IF($D95="Milestone","D",1),""))</f>
        <v/>
      </c>
      <c r="T95" s="43" t="str">
        <f aca="false">IF($E95="","",IF(AND(T$4&gt;=$E95,T$4&lt;=$F95),IF($D95="Milestone","D",1),""))</f>
        <v/>
      </c>
      <c r="U95" s="43" t="str">
        <f aca="false">IF($E95="","",IF(AND(U$4&gt;=$E95,U$4&lt;=$F95),IF($D95="Milestone","D",1),""))</f>
        <v/>
      </c>
      <c r="V95" s="43" t="str">
        <f aca="false">IF($E95="","",IF(AND(V$4&gt;=$E95,V$4&lt;=$F95),IF($D95="Milestone","D",1),""))</f>
        <v/>
      </c>
      <c r="W95" s="43" t="str">
        <f aca="false">IF($E95="","",IF(AND(W$4&gt;=$E95,W$4&lt;=$F95),IF($D95="Milestone","D",1),""))</f>
        <v/>
      </c>
      <c r="X95" s="43" t="str">
        <f aca="false">IF($E95="","",IF(AND(X$4&gt;=$E95,X$4&lt;=$F95),IF($D95="Milestone","D",1),""))</f>
        <v/>
      </c>
      <c r="Y95" s="43" t="str">
        <f aca="false">IF($E95="","",IF(AND(Y$4&gt;=$E95,Y$4&lt;=$F95),IF($D95="Milestone","D",1),""))</f>
        <v/>
      </c>
      <c r="Z95" s="43" t="str">
        <f aca="false">IF($E95="","",IF(AND(Z$4&gt;=$E95,Z$4&lt;=$F95),IF($D95="Milestone","D",1),""))</f>
        <v/>
      </c>
      <c r="AA95" s="43" t="str">
        <f aca="false">IF($E95="","",IF(AND(AA$4&gt;=$E95,AA$4&lt;=$F95),IF($D95="Milestone","D",1),""))</f>
        <v/>
      </c>
      <c r="AB95" s="43" t="str">
        <f aca="false">IF($E95="","",IF(AND(AB$4&gt;=$E95,AB$4&lt;=$F95),IF($D95="Milestone","D",1),""))</f>
        <v>D</v>
      </c>
      <c r="AC95" s="43" t="str">
        <f aca="false">IF($E95="","",IF(AND(AC$4&gt;=$E95,AC$4&lt;=$F95),IF($D95="Milestone","D",1),""))</f>
        <v/>
      </c>
      <c r="AD95" s="43" t="str">
        <f aca="false">IF($E95="","",IF(AND(AD$4&gt;=$E95,AD$4&lt;=$F95),IF($D95="Milestone","D",1),""))</f>
        <v/>
      </c>
      <c r="AE95" s="43" t="str">
        <f aca="false">IF($E95="","",IF(AND(AE$4&gt;=$E95,AE$4&lt;=$F95),IF($D95="Milestone","D",1),""))</f>
        <v/>
      </c>
      <c r="AF95" s="43" t="str">
        <f aca="false">IF($E95="","",IF(AND(AF$4&gt;=$E95,AF$4&lt;=$F95),IF($D95="Milestone","D",1),""))</f>
        <v/>
      </c>
      <c r="AG95" s="43" t="str">
        <f aca="false">IF($E95="","",IF(AND(AG$4&gt;=$E95,AG$4&lt;=$F95),IF($D95="Milestone","D",1),""))</f>
        <v/>
      </c>
      <c r="AH95" s="43" t="str">
        <f aca="false">IF($E95="","",IF(AND(AH$4&gt;=$E95,AH$4&lt;=$F95),IF($D95="Milestone","D",1),""))</f>
        <v/>
      </c>
    </row>
    <row r="96" customFormat="false" ht="15" hidden="false" customHeight="false" outlineLevel="0" collapsed="false">
      <c r="A96" s="40" t="str">
        <f aca="false">WBS!A93</f>
        <v>M6</v>
      </c>
      <c r="B96" s="41" t="str">
        <f aca="false">WBS!B93</f>
        <v>GATE: Stage S2b/c - corner &amp; slew</v>
      </c>
      <c r="C96" s="40" t="str">
        <f aca="false">WBS!E93</f>
        <v>All</v>
      </c>
      <c r="D96" s="40" t="str">
        <f aca="false">WBS!D93</f>
        <v>Milestone</v>
      </c>
      <c r="E96" s="42" t="n">
        <f aca="false">WBS!L93</f>
        <v>46250</v>
      </c>
      <c r="F96" s="42" t="n">
        <f aca="false">WBS!M93</f>
        <v>46250</v>
      </c>
      <c r="G96" s="43" t="str">
        <f aca="false">IF($E96="","",IF(AND(G$4&gt;=$E96,G$4&lt;=$F96),IF($D96="Milestone","D",1),""))</f>
        <v/>
      </c>
      <c r="H96" s="43" t="str">
        <f aca="false">IF($E96="","",IF(AND(H$4&gt;=$E96,H$4&lt;=$F96),IF($D96="Milestone","D",1),""))</f>
        <v/>
      </c>
      <c r="I96" s="43" t="str">
        <f aca="false">IF($E96="","",IF(AND(I$4&gt;=$E96,I$4&lt;=$F96),IF($D96="Milestone","D",1),""))</f>
        <v/>
      </c>
      <c r="J96" s="43" t="str">
        <f aca="false">IF($E96="","",IF(AND(J$4&gt;=$E96,J$4&lt;=$F96),IF($D96="Milestone","D",1),""))</f>
        <v/>
      </c>
      <c r="K96" s="43" t="str">
        <f aca="false">IF($E96="","",IF(AND(K$4&gt;=$E96,K$4&lt;=$F96),IF($D96="Milestone","D",1),""))</f>
        <v/>
      </c>
      <c r="L96" s="43" t="str">
        <f aca="false">IF($E96="","",IF(AND(L$4&gt;=$E96,L$4&lt;=$F96),IF($D96="Milestone","D",1),""))</f>
        <v/>
      </c>
      <c r="M96" s="43" t="str">
        <f aca="false">IF($E96="","",IF(AND(M$4&gt;=$E96,M$4&lt;=$F96),IF($D96="Milestone","D",1),""))</f>
        <v/>
      </c>
      <c r="N96" s="43" t="str">
        <f aca="false">IF($E96="","",IF(AND(N$4&gt;=$E96,N$4&lt;=$F96),IF($D96="Milestone","D",1),""))</f>
        <v/>
      </c>
      <c r="O96" s="43" t="str">
        <f aca="false">IF($E96="","",IF(AND(O$4&gt;=$E96,O$4&lt;=$F96),IF($D96="Milestone","D",1),""))</f>
        <v/>
      </c>
      <c r="P96" s="43" t="str">
        <f aca="false">IF($E96="","",IF(AND(P$4&gt;=$E96,P$4&lt;=$F96),IF($D96="Milestone","D",1),""))</f>
        <v/>
      </c>
      <c r="Q96" s="43" t="str">
        <f aca="false">IF($E96="","",IF(AND(Q$4&gt;=$E96,Q$4&lt;=$F96),IF($D96="Milestone","D",1),""))</f>
        <v/>
      </c>
      <c r="R96" s="43" t="str">
        <f aca="false">IF($E96="","",IF(AND(R$4&gt;=$E96,R$4&lt;=$F96),IF($D96="Milestone","D",1),""))</f>
        <v/>
      </c>
      <c r="S96" s="43" t="str">
        <f aca="false">IF($E96="","",IF(AND(S$4&gt;=$E96,S$4&lt;=$F96),IF($D96="Milestone","D",1),""))</f>
        <v/>
      </c>
      <c r="T96" s="43" t="str">
        <f aca="false">IF($E96="","",IF(AND(T$4&gt;=$E96,T$4&lt;=$F96),IF($D96="Milestone","D",1),""))</f>
        <v/>
      </c>
      <c r="U96" s="43" t="str">
        <f aca="false">IF($E96="","",IF(AND(U$4&gt;=$E96,U$4&lt;=$F96),IF($D96="Milestone","D",1),""))</f>
        <v/>
      </c>
      <c r="V96" s="43" t="str">
        <f aca="false">IF($E96="","",IF(AND(V$4&gt;=$E96,V$4&lt;=$F96),IF($D96="Milestone","D",1),""))</f>
        <v/>
      </c>
      <c r="W96" s="43" t="str">
        <f aca="false">IF($E96="","",IF(AND(W$4&gt;=$E96,W$4&lt;=$F96),IF($D96="Milestone","D",1),""))</f>
        <v/>
      </c>
      <c r="X96" s="43" t="str">
        <f aca="false">IF($E96="","",IF(AND(X$4&gt;=$E96,X$4&lt;=$F96),IF($D96="Milestone","D",1),""))</f>
        <v/>
      </c>
      <c r="Y96" s="43" t="str">
        <f aca="false">IF($E96="","",IF(AND(Y$4&gt;=$E96,Y$4&lt;=$F96),IF($D96="Milestone","D",1),""))</f>
        <v/>
      </c>
      <c r="Z96" s="43" t="str">
        <f aca="false">IF($E96="","",IF(AND(Z$4&gt;=$E96,Z$4&lt;=$F96),IF($D96="Milestone","D",1),""))</f>
        <v/>
      </c>
      <c r="AA96" s="43" t="str">
        <f aca="false">IF($E96="","",IF(AND(AA$4&gt;=$E96,AA$4&lt;=$F96),IF($D96="Milestone","D",1),""))</f>
        <v/>
      </c>
      <c r="AB96" s="43" t="str">
        <f aca="false">IF($E96="","",IF(AND(AB$4&gt;=$E96,AB$4&lt;=$F96),IF($D96="Milestone","D",1),""))</f>
        <v/>
      </c>
      <c r="AC96" s="43" t="str">
        <f aca="false">IF($E96="","",IF(AND(AC$4&gt;=$E96,AC$4&lt;=$F96),IF($D96="Milestone","D",1),""))</f>
        <v/>
      </c>
      <c r="AD96" s="43" t="str">
        <f aca="false">IF($E96="","",IF(AND(AD$4&gt;=$E96,AD$4&lt;=$F96),IF($D96="Milestone","D",1),""))</f>
        <v/>
      </c>
      <c r="AE96" s="43" t="str">
        <f aca="false">IF($E96="","",IF(AND(AE$4&gt;=$E96,AE$4&lt;=$F96),IF($D96="Milestone","D",1),""))</f>
        <v>D</v>
      </c>
      <c r="AF96" s="43" t="str">
        <f aca="false">IF($E96="","",IF(AND(AF$4&gt;=$E96,AF$4&lt;=$F96),IF($D96="Milestone","D",1),""))</f>
        <v/>
      </c>
      <c r="AG96" s="43" t="str">
        <f aca="false">IF($E96="","",IF(AND(AG$4&gt;=$E96,AG$4&lt;=$F96),IF($D96="Milestone","D",1),""))</f>
        <v/>
      </c>
      <c r="AH96" s="43" t="str">
        <f aca="false">IF($E96="","",IF(AND(AH$4&gt;=$E96,AH$4&lt;=$F96),IF($D96="Milestone","D",1),""))</f>
        <v/>
      </c>
    </row>
    <row r="97" customFormat="false" ht="15" hidden="false" customHeight="false" outlineLevel="0" collapsed="false">
      <c r="A97" s="40" t="str">
        <f aca="false">WBS!A94</f>
        <v>M7</v>
      </c>
      <c r="B97" s="41" t="str">
        <f aca="false">WBS!B94</f>
        <v>GATE: Stage S3 - jump</v>
      </c>
      <c r="C97" s="40" t="str">
        <f aca="false">WBS!E94</f>
        <v>All</v>
      </c>
      <c r="D97" s="40" t="str">
        <f aca="false">WBS!D94</f>
        <v>Milestone</v>
      </c>
      <c r="E97" s="42" t="n">
        <f aca="false">WBS!L94</f>
        <v>46252</v>
      </c>
      <c r="F97" s="42" t="n">
        <f aca="false">WBS!M94</f>
        <v>46252</v>
      </c>
      <c r="G97" s="43" t="str">
        <f aca="false">IF($E97="","",IF(AND(G$4&gt;=$E97,G$4&lt;=$F97),IF($D97="Milestone","D",1),""))</f>
        <v/>
      </c>
      <c r="H97" s="43" t="str">
        <f aca="false">IF($E97="","",IF(AND(H$4&gt;=$E97,H$4&lt;=$F97),IF($D97="Milestone","D",1),""))</f>
        <v/>
      </c>
      <c r="I97" s="43" t="str">
        <f aca="false">IF($E97="","",IF(AND(I$4&gt;=$E97,I$4&lt;=$F97),IF($D97="Milestone","D",1),""))</f>
        <v/>
      </c>
      <c r="J97" s="43" t="str">
        <f aca="false">IF($E97="","",IF(AND(J$4&gt;=$E97,J$4&lt;=$F97),IF($D97="Milestone","D",1),""))</f>
        <v/>
      </c>
      <c r="K97" s="43" t="str">
        <f aca="false">IF($E97="","",IF(AND(K$4&gt;=$E97,K$4&lt;=$F97),IF($D97="Milestone","D",1),""))</f>
        <v/>
      </c>
      <c r="L97" s="43" t="str">
        <f aca="false">IF($E97="","",IF(AND(L$4&gt;=$E97,L$4&lt;=$F97),IF($D97="Milestone","D",1),""))</f>
        <v/>
      </c>
      <c r="M97" s="43" t="str">
        <f aca="false">IF($E97="","",IF(AND(M$4&gt;=$E97,M$4&lt;=$F97),IF($D97="Milestone","D",1),""))</f>
        <v/>
      </c>
      <c r="N97" s="43" t="str">
        <f aca="false">IF($E97="","",IF(AND(N$4&gt;=$E97,N$4&lt;=$F97),IF($D97="Milestone","D",1),""))</f>
        <v/>
      </c>
      <c r="O97" s="43" t="str">
        <f aca="false">IF($E97="","",IF(AND(O$4&gt;=$E97,O$4&lt;=$F97),IF($D97="Milestone","D",1),""))</f>
        <v/>
      </c>
      <c r="P97" s="43" t="str">
        <f aca="false">IF($E97="","",IF(AND(P$4&gt;=$E97,P$4&lt;=$F97),IF($D97="Milestone","D",1),""))</f>
        <v/>
      </c>
      <c r="Q97" s="43" t="str">
        <f aca="false">IF($E97="","",IF(AND(Q$4&gt;=$E97,Q$4&lt;=$F97),IF($D97="Milestone","D",1),""))</f>
        <v/>
      </c>
      <c r="R97" s="43" t="str">
        <f aca="false">IF($E97="","",IF(AND(R$4&gt;=$E97,R$4&lt;=$F97),IF($D97="Milestone","D",1),""))</f>
        <v/>
      </c>
      <c r="S97" s="43" t="str">
        <f aca="false">IF($E97="","",IF(AND(S$4&gt;=$E97,S$4&lt;=$F97),IF($D97="Milestone","D",1),""))</f>
        <v/>
      </c>
      <c r="T97" s="43" t="str">
        <f aca="false">IF($E97="","",IF(AND(T$4&gt;=$E97,T$4&lt;=$F97),IF($D97="Milestone","D",1),""))</f>
        <v/>
      </c>
      <c r="U97" s="43" t="str">
        <f aca="false">IF($E97="","",IF(AND(U$4&gt;=$E97,U$4&lt;=$F97),IF($D97="Milestone","D",1),""))</f>
        <v/>
      </c>
      <c r="V97" s="43" t="str">
        <f aca="false">IF($E97="","",IF(AND(V$4&gt;=$E97,V$4&lt;=$F97),IF($D97="Milestone","D",1),""))</f>
        <v/>
      </c>
      <c r="W97" s="43" t="str">
        <f aca="false">IF($E97="","",IF(AND(W$4&gt;=$E97,W$4&lt;=$F97),IF($D97="Milestone","D",1),""))</f>
        <v/>
      </c>
      <c r="X97" s="43" t="str">
        <f aca="false">IF($E97="","",IF(AND(X$4&gt;=$E97,X$4&lt;=$F97),IF($D97="Milestone","D",1),""))</f>
        <v/>
      </c>
      <c r="Y97" s="43" t="str">
        <f aca="false">IF($E97="","",IF(AND(Y$4&gt;=$E97,Y$4&lt;=$F97),IF($D97="Milestone","D",1),""))</f>
        <v/>
      </c>
      <c r="Z97" s="43" t="str">
        <f aca="false">IF($E97="","",IF(AND(Z$4&gt;=$E97,Z$4&lt;=$F97),IF($D97="Milestone","D",1),""))</f>
        <v/>
      </c>
      <c r="AA97" s="43" t="str">
        <f aca="false">IF($E97="","",IF(AND(AA$4&gt;=$E97,AA$4&lt;=$F97),IF($D97="Milestone","D",1),""))</f>
        <v/>
      </c>
      <c r="AB97" s="43" t="str">
        <f aca="false">IF($E97="","",IF(AND(AB$4&gt;=$E97,AB$4&lt;=$F97),IF($D97="Milestone","D",1),""))</f>
        <v/>
      </c>
      <c r="AC97" s="43" t="str">
        <f aca="false">IF($E97="","",IF(AND(AC$4&gt;=$E97,AC$4&lt;=$F97),IF($D97="Milestone","D",1),""))</f>
        <v/>
      </c>
      <c r="AD97" s="43" t="str">
        <f aca="false">IF($E97="","",IF(AND(AD$4&gt;=$E97,AD$4&lt;=$F97),IF($D97="Milestone","D",1),""))</f>
        <v/>
      </c>
      <c r="AE97" s="43" t="str">
        <f aca="false">IF($E97="","",IF(AND(AE$4&gt;=$E97,AE$4&lt;=$F97),IF($D97="Milestone","D",1),""))</f>
        <v/>
      </c>
      <c r="AF97" s="43" t="str">
        <f aca="false">IF($E97="","",IF(AND(AF$4&gt;=$E97,AF$4&lt;=$F97),IF($D97="Milestone","D",1),""))</f>
        <v/>
      </c>
      <c r="AG97" s="43" t="str">
        <f aca="false">IF($E97="","",IF(AND(AG$4&gt;=$E97,AG$4&lt;=$F97),IF($D97="Milestone","D",1),""))</f>
        <v>D</v>
      </c>
      <c r="AH97" s="43" t="str">
        <f aca="false">IF($E97="","",IF(AND(AH$4&gt;=$E97,AH$4&lt;=$F97),IF($D97="Milestone","D",1),""))</f>
        <v/>
      </c>
    </row>
    <row r="98" customFormat="false" ht="15" hidden="false" customHeight="false" outlineLevel="0" collapsed="false">
      <c r="A98" s="40" t="str">
        <f aca="false">WBS!A95</f>
        <v>M8</v>
      </c>
      <c r="B98" s="41" t="str">
        <f aca="false">WBS!B95</f>
        <v>GATE: Final delivery</v>
      </c>
      <c r="C98" s="40" t="str">
        <f aca="false">WBS!E95</f>
        <v>All</v>
      </c>
      <c r="D98" s="40" t="str">
        <f aca="false">WBS!D95</f>
        <v>Milestone</v>
      </c>
      <c r="E98" s="42" t="n">
        <f aca="false">WBS!L95</f>
        <v>46253</v>
      </c>
      <c r="F98" s="42" t="n">
        <f aca="false">WBS!M95</f>
        <v>46253</v>
      </c>
      <c r="G98" s="43" t="str">
        <f aca="false">IF($E98="","",IF(AND(G$4&gt;=$E98,G$4&lt;=$F98),IF($D98="Milestone","D",1),""))</f>
        <v/>
      </c>
      <c r="H98" s="43" t="str">
        <f aca="false">IF($E98="","",IF(AND(H$4&gt;=$E98,H$4&lt;=$F98),IF($D98="Milestone","D",1),""))</f>
        <v/>
      </c>
      <c r="I98" s="43" t="str">
        <f aca="false">IF($E98="","",IF(AND(I$4&gt;=$E98,I$4&lt;=$F98),IF($D98="Milestone","D",1),""))</f>
        <v/>
      </c>
      <c r="J98" s="43" t="str">
        <f aca="false">IF($E98="","",IF(AND(J$4&gt;=$E98,J$4&lt;=$F98),IF($D98="Milestone","D",1),""))</f>
        <v/>
      </c>
      <c r="K98" s="43" t="str">
        <f aca="false">IF($E98="","",IF(AND(K$4&gt;=$E98,K$4&lt;=$F98),IF($D98="Milestone","D",1),""))</f>
        <v/>
      </c>
      <c r="L98" s="43" t="str">
        <f aca="false">IF($E98="","",IF(AND(L$4&gt;=$E98,L$4&lt;=$F98),IF($D98="Milestone","D",1),""))</f>
        <v/>
      </c>
      <c r="M98" s="43" t="str">
        <f aca="false">IF($E98="","",IF(AND(M$4&gt;=$E98,M$4&lt;=$F98),IF($D98="Milestone","D",1),""))</f>
        <v/>
      </c>
      <c r="N98" s="43" t="str">
        <f aca="false">IF($E98="","",IF(AND(N$4&gt;=$E98,N$4&lt;=$F98),IF($D98="Milestone","D",1),""))</f>
        <v/>
      </c>
      <c r="O98" s="43" t="str">
        <f aca="false">IF($E98="","",IF(AND(O$4&gt;=$E98,O$4&lt;=$F98),IF($D98="Milestone","D",1),""))</f>
        <v/>
      </c>
      <c r="P98" s="43" t="str">
        <f aca="false">IF($E98="","",IF(AND(P$4&gt;=$E98,P$4&lt;=$F98),IF($D98="Milestone","D",1),""))</f>
        <v/>
      </c>
      <c r="Q98" s="43" t="str">
        <f aca="false">IF($E98="","",IF(AND(Q$4&gt;=$E98,Q$4&lt;=$F98),IF($D98="Milestone","D",1),""))</f>
        <v/>
      </c>
      <c r="R98" s="43" t="str">
        <f aca="false">IF($E98="","",IF(AND(R$4&gt;=$E98,R$4&lt;=$F98),IF($D98="Milestone","D",1),""))</f>
        <v/>
      </c>
      <c r="S98" s="43" t="str">
        <f aca="false">IF($E98="","",IF(AND(S$4&gt;=$E98,S$4&lt;=$F98),IF($D98="Milestone","D",1),""))</f>
        <v/>
      </c>
      <c r="T98" s="43" t="str">
        <f aca="false">IF($E98="","",IF(AND(T$4&gt;=$E98,T$4&lt;=$F98),IF($D98="Milestone","D",1),""))</f>
        <v/>
      </c>
      <c r="U98" s="43" t="str">
        <f aca="false">IF($E98="","",IF(AND(U$4&gt;=$E98,U$4&lt;=$F98),IF($D98="Milestone","D",1),""))</f>
        <v/>
      </c>
      <c r="V98" s="43" t="str">
        <f aca="false">IF($E98="","",IF(AND(V$4&gt;=$E98,V$4&lt;=$F98),IF($D98="Milestone","D",1),""))</f>
        <v/>
      </c>
      <c r="W98" s="43" t="str">
        <f aca="false">IF($E98="","",IF(AND(W$4&gt;=$E98,W$4&lt;=$F98),IF($D98="Milestone","D",1),""))</f>
        <v/>
      </c>
      <c r="X98" s="43" t="str">
        <f aca="false">IF($E98="","",IF(AND(X$4&gt;=$E98,X$4&lt;=$F98),IF($D98="Milestone","D",1),""))</f>
        <v/>
      </c>
      <c r="Y98" s="43" t="str">
        <f aca="false">IF($E98="","",IF(AND(Y$4&gt;=$E98,Y$4&lt;=$F98),IF($D98="Milestone","D",1),""))</f>
        <v/>
      </c>
      <c r="Z98" s="43" t="str">
        <f aca="false">IF($E98="","",IF(AND(Z$4&gt;=$E98,Z$4&lt;=$F98),IF($D98="Milestone","D",1),""))</f>
        <v/>
      </c>
      <c r="AA98" s="43" t="str">
        <f aca="false">IF($E98="","",IF(AND(AA$4&gt;=$E98,AA$4&lt;=$F98),IF($D98="Milestone","D",1),""))</f>
        <v/>
      </c>
      <c r="AB98" s="43" t="str">
        <f aca="false">IF($E98="","",IF(AND(AB$4&gt;=$E98,AB$4&lt;=$F98),IF($D98="Milestone","D",1),""))</f>
        <v/>
      </c>
      <c r="AC98" s="43" t="str">
        <f aca="false">IF($E98="","",IF(AND(AC$4&gt;=$E98,AC$4&lt;=$F98),IF($D98="Milestone","D",1),""))</f>
        <v/>
      </c>
      <c r="AD98" s="43" t="str">
        <f aca="false">IF($E98="","",IF(AND(AD$4&gt;=$E98,AD$4&lt;=$F98),IF($D98="Milestone","D",1),""))</f>
        <v/>
      </c>
      <c r="AE98" s="43" t="str">
        <f aca="false">IF($E98="","",IF(AND(AE$4&gt;=$E98,AE$4&lt;=$F98),IF($D98="Milestone","D",1),""))</f>
        <v/>
      </c>
      <c r="AF98" s="43" t="str">
        <f aca="false">IF($E98="","",IF(AND(AF$4&gt;=$E98,AF$4&lt;=$F98),IF($D98="Milestone","D",1),""))</f>
        <v/>
      </c>
      <c r="AG98" s="43" t="str">
        <f aca="false">IF($E98="","",IF(AND(AG$4&gt;=$E98,AG$4&lt;=$F98),IF($D98="Milestone","D",1),""))</f>
        <v/>
      </c>
      <c r="AH98" s="43" t="str">
        <f aca="false">IF($E98="","",IF(AND(AH$4&gt;=$E98,AH$4&lt;=$F98),IF($D98="Milestone","D",1),""))</f>
        <v>D</v>
      </c>
    </row>
    <row r="101" customFormat="false" ht="15" hidden="false" customHeight="false" outlineLevel="0" collapsed="false">
      <c r="A101" s="44" t="s">
        <v>519</v>
      </c>
    </row>
    <row r="102" customFormat="false" ht="15" hidden="false" customHeight="false" outlineLevel="0" collapsed="false">
      <c r="A102" s="45"/>
      <c r="B102" s="46" t="s">
        <v>20</v>
      </c>
    </row>
    <row r="103" customFormat="false" ht="15" hidden="false" customHeight="false" outlineLevel="0" collapsed="false">
      <c r="A103" s="47"/>
      <c r="B103" s="46" t="s">
        <v>123</v>
      </c>
    </row>
    <row r="104" customFormat="false" ht="15" hidden="false" customHeight="false" outlineLevel="0" collapsed="false">
      <c r="A104" s="48"/>
      <c r="B104" s="46" t="s">
        <v>227</v>
      </c>
    </row>
    <row r="105" customFormat="false" ht="15" hidden="false" customHeight="false" outlineLevel="0" collapsed="false">
      <c r="A105" s="49"/>
      <c r="B105" s="46" t="s">
        <v>303</v>
      </c>
    </row>
    <row r="106" customFormat="false" ht="15" hidden="false" customHeight="false" outlineLevel="0" collapsed="false">
      <c r="A106" s="50" t="s">
        <v>520</v>
      </c>
      <c r="B106" s="46" t="s">
        <v>521</v>
      </c>
    </row>
    <row r="108" customFormat="false" ht="15" hidden="false" customHeight="false" outlineLevel="0" collapsed="false">
      <c r="A108" s="12" t="s">
        <v>522</v>
      </c>
    </row>
  </sheetData>
  <conditionalFormatting sqref="G5:AH98">
    <cfRule type="expression" priority="2" aboveAverage="0" equalAverage="0" bottom="0" percent="0" rank="0" text="" dxfId="14">
      <formula>AND($D5="Formulation &amp; Docs",G5&lt;&gt;"")</formula>
    </cfRule>
    <cfRule type="expression" priority="3" aboveAverage="0" equalAverage="0" bottom="0" percent="0" rank="0" text="" dxfId="15">
      <formula>AND($D5="Control &amp; Software",G5&lt;&gt;"")</formula>
    </cfRule>
    <cfRule type="expression" priority="4" aboveAverage="0" equalAverage="0" bottom="0" percent="0" rank="0" text="" dxfId="16">
      <formula>AND($D5="CAD Design",G5&lt;&gt;"")</formula>
    </cfRule>
    <cfRule type="expression" priority="5" aboveAverage="0" equalAverage="0" bottom="0" percent="0" rank="0" text="" dxfId="17">
      <formula>AND($D5="Manufacturing &amp; Circuits",G5&lt;&gt;"")</formula>
    </cfRule>
    <cfRule type="expression" priority="6" aboveAverage="0" equalAverage="0" bottom="0" percent="0" rank="0" text="" dxfId="18">
      <formula>AND(WEEKDAY(G$4,2)&gt;5,G5="")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6.15" hidden="false" customHeight="false" outlineLevel="0" collapsed="false">
      <c r="A1" s="51" t="s">
        <v>523</v>
      </c>
    </row>
    <row r="2" customFormat="false" ht="15" hidden="false" customHeight="false" outlineLevel="0" collapsed="false">
      <c r="A2" s="12" t="s">
        <v>524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2026-07-23T21:21:44Z</dcterms:created>
  <dc:creator>openpyxl</dc:creator>
  <dc:description/>
  <dc:language>en-US</dc:language>
  <cp:lastModifiedBy/>
  <dcterms:modified xsi:type="dcterms:W3CDTF">2026-07-23T21:21:53Z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